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C3358C1A-800B-4D33-A5A1-F334FC924537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10nm" sheetId="1" r:id="rId1"/>
    <sheet name="Comparision table" sheetId="8" r:id="rId2"/>
    <sheet name="Gold Sweep" sheetId="3" r:id="rId3"/>
    <sheet name="ti02 sweep" sheetId="4" r:id="rId4"/>
    <sheet name="airhole sweep" sheetId="5" r:id="rId5"/>
    <sheet name="Pitch sweep" sheetId="6" r:id="rId6"/>
    <sheet name="h_cut sweep" sheetId="7" r:id="rId7"/>
    <sheet name="fabrication tolerance" sheetId="9" r:id="rId8"/>
    <sheet name="Fine sweep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" i="9" l="1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" i="9"/>
  <c r="R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J2" i="9"/>
  <c r="J27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D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" i="9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C2" i="7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3" i="9"/>
  <c r="A26" i="9"/>
  <c r="A27" i="9"/>
  <c r="A23" i="9"/>
  <c r="A24" i="9"/>
  <c r="A25" i="9"/>
  <c r="A18" i="9"/>
  <c r="A19" i="9"/>
  <c r="A20" i="9"/>
  <c r="A21" i="9"/>
  <c r="A22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3" i="9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" i="7"/>
  <c r="U2" i="6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" i="7"/>
  <c r="S2" i="6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" i="7"/>
  <c r="Q2" i="6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" i="7"/>
  <c r="O2" i="6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" i="7"/>
  <c r="M2" i="6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" i="7"/>
  <c r="K2" i="6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" i="7"/>
  <c r="I2" i="6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" i="7"/>
  <c r="G2" i="6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" i="7"/>
  <c r="E2" i="6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" i="6"/>
  <c r="A3" i="7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" i="5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" i="5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" i="5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" i="5"/>
  <c r="M2" i="5"/>
  <c r="K2" i="5"/>
  <c r="I2" i="5"/>
  <c r="G2" i="5"/>
  <c r="E2" i="5"/>
  <c r="C2" i="5"/>
  <c r="A3" i="6"/>
  <c r="G17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Y2" i="4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" i="4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" i="4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" i="4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" i="4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8" i="5"/>
  <c r="G19" i="5"/>
  <c r="G20" i="5"/>
  <c r="G21" i="5"/>
  <c r="G22" i="5"/>
  <c r="G23" i="5"/>
  <c r="G24" i="5"/>
  <c r="G25" i="5"/>
  <c r="G26" i="5"/>
  <c r="G27" i="5"/>
  <c r="G2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" i="4"/>
  <c r="A3" i="5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C2" i="4"/>
  <c r="AA2" i="4"/>
  <c r="W2" i="4"/>
  <c r="Y27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" i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3" i="4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" i="3"/>
  <c r="A13" i="3"/>
  <c r="I3" i="3"/>
  <c r="I4" i="3"/>
  <c r="I5" i="3"/>
  <c r="I6" i="3"/>
  <c r="I7" i="3"/>
  <c r="I8" i="3"/>
  <c r="I9" i="3"/>
  <c r="I10" i="3"/>
  <c r="I11" i="3"/>
  <c r="I12" i="3"/>
  <c r="I13" i="3"/>
  <c r="I2" i="3"/>
  <c r="G2" i="3"/>
  <c r="A12" i="3"/>
  <c r="G3" i="3"/>
  <c r="G4" i="3"/>
  <c r="G5" i="3"/>
  <c r="G6" i="3"/>
  <c r="G7" i="3"/>
  <c r="G8" i="3"/>
  <c r="G9" i="3"/>
  <c r="G10" i="3"/>
  <c r="G11" i="3"/>
  <c r="G12" i="3"/>
  <c r="E2" i="3"/>
  <c r="E3" i="3"/>
  <c r="E4" i="3"/>
  <c r="E5" i="3"/>
  <c r="E6" i="3"/>
  <c r="E7" i="3"/>
  <c r="E8" i="3"/>
  <c r="E9" i="3"/>
  <c r="E10" i="3"/>
  <c r="E11" i="3"/>
  <c r="E12" i="3"/>
  <c r="C2" i="3"/>
  <c r="C3" i="3"/>
  <c r="C4" i="3"/>
  <c r="C5" i="3"/>
  <c r="C6" i="3"/>
  <c r="C7" i="3"/>
  <c r="C8" i="3"/>
  <c r="C9" i="3"/>
  <c r="C10" i="3"/>
  <c r="C11" i="3"/>
  <c r="C12" i="3"/>
  <c r="M2" i="1"/>
  <c r="A4" i="3"/>
  <c r="A5" i="3"/>
  <c r="A6" i="3"/>
  <c r="A7" i="3"/>
  <c r="A8" i="3"/>
  <c r="A9" i="3"/>
  <c r="A10" i="3"/>
  <c r="A11" i="3"/>
  <c r="A14" i="3"/>
  <c r="I14" i="3" s="1"/>
  <c r="A15" i="3"/>
  <c r="I15" i="3" s="1"/>
  <c r="A16" i="3"/>
  <c r="I16" i="3" s="1"/>
  <c r="A17" i="3"/>
  <c r="I17" i="3" s="1"/>
  <c r="A18" i="3"/>
  <c r="I18" i="3" s="1"/>
  <c r="A19" i="3"/>
  <c r="I19" i="3" s="1"/>
  <c r="A20" i="3"/>
  <c r="I20" i="3" s="1"/>
  <c r="A21" i="3"/>
  <c r="I21" i="3" s="1"/>
  <c r="A22" i="3"/>
  <c r="I22" i="3" s="1"/>
  <c r="A23" i="3"/>
  <c r="I23" i="3" s="1"/>
  <c r="A24" i="3"/>
  <c r="I24" i="3" s="1"/>
  <c r="A25" i="3"/>
  <c r="I25" i="3" s="1"/>
  <c r="A26" i="3"/>
  <c r="I26" i="3" s="1"/>
  <c r="A27" i="3"/>
  <c r="I27" i="3" s="1"/>
  <c r="A3" i="3"/>
  <c r="K2" i="1"/>
  <c r="I2" i="1"/>
  <c r="I9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F2" i="2"/>
  <c r="J215" i="2"/>
  <c r="J216" i="2"/>
  <c r="J217" i="2"/>
  <c r="J218" i="2"/>
  <c r="J219" i="2"/>
  <c r="J220" i="2"/>
  <c r="J214" i="2"/>
  <c r="J211" i="2"/>
  <c r="J212" i="2"/>
  <c r="J201" i="2"/>
  <c r="J202" i="2"/>
  <c r="J203" i="2"/>
  <c r="J204" i="2"/>
  <c r="J205" i="2"/>
  <c r="J206" i="2"/>
  <c r="J207" i="2"/>
  <c r="J208" i="2"/>
  <c r="J209" i="2"/>
  <c r="J210" i="2"/>
  <c r="J200" i="2"/>
  <c r="J190" i="2"/>
  <c r="J191" i="2"/>
  <c r="J192" i="2"/>
  <c r="J193" i="2"/>
  <c r="J194" i="2"/>
  <c r="J195" i="2"/>
  <c r="J196" i="2"/>
  <c r="J197" i="2"/>
  <c r="J198" i="2"/>
  <c r="J179" i="2"/>
  <c r="J180" i="2"/>
  <c r="J181" i="2"/>
  <c r="J182" i="2"/>
  <c r="J183" i="2"/>
  <c r="J184" i="2"/>
  <c r="J185" i="2"/>
  <c r="J186" i="2"/>
  <c r="J187" i="2"/>
  <c r="J188" i="2"/>
  <c r="J189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53" i="2"/>
  <c r="J154" i="2"/>
  <c r="J155" i="2"/>
  <c r="J156" i="2"/>
  <c r="J157" i="2"/>
  <c r="J158" i="2"/>
  <c r="J159" i="2"/>
  <c r="J160" i="2"/>
  <c r="J161" i="2"/>
  <c r="J162" i="2"/>
  <c r="J163" i="2"/>
  <c r="J142" i="2"/>
  <c r="J143" i="2"/>
  <c r="J144" i="2"/>
  <c r="J145" i="2"/>
  <c r="J146" i="2"/>
  <c r="J147" i="2"/>
  <c r="J148" i="2"/>
  <c r="J149" i="2"/>
  <c r="J150" i="2"/>
  <c r="J151" i="2"/>
  <c r="J152" i="2"/>
  <c r="J133" i="2"/>
  <c r="J134" i="2"/>
  <c r="J135" i="2"/>
  <c r="J136" i="2"/>
  <c r="J137" i="2"/>
  <c r="J138" i="2"/>
  <c r="J139" i="2"/>
  <c r="J140" i="2"/>
  <c r="J141" i="2"/>
  <c r="J124" i="2"/>
  <c r="J125" i="2"/>
  <c r="J126" i="2"/>
  <c r="J127" i="2"/>
  <c r="J128" i="2"/>
  <c r="J129" i="2"/>
  <c r="J130" i="2"/>
  <c r="J131" i="2"/>
  <c r="J132" i="2"/>
  <c r="J117" i="2"/>
  <c r="J118" i="2"/>
  <c r="J119" i="2"/>
  <c r="J120" i="2"/>
  <c r="J121" i="2"/>
  <c r="J122" i="2"/>
  <c r="J123" i="2"/>
  <c r="J109" i="2"/>
  <c r="J110" i="2"/>
  <c r="J111" i="2"/>
  <c r="J112" i="2"/>
  <c r="J113" i="2"/>
  <c r="J114" i="2"/>
  <c r="J115" i="2"/>
  <c r="J116" i="2"/>
  <c r="J99" i="2"/>
  <c r="J100" i="2"/>
  <c r="J101" i="2"/>
  <c r="J102" i="2"/>
  <c r="J103" i="2"/>
  <c r="J104" i="2"/>
  <c r="J105" i="2"/>
  <c r="J106" i="2"/>
  <c r="J107" i="2"/>
  <c r="J108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49" i="2"/>
  <c r="J47" i="2"/>
  <c r="J45" i="2"/>
  <c r="J46" i="2"/>
  <c r="J36" i="2"/>
  <c r="J37" i="2"/>
  <c r="J38" i="2"/>
  <c r="J39" i="2"/>
  <c r="J40" i="2"/>
  <c r="J41" i="2"/>
  <c r="J42" i="2"/>
  <c r="J43" i="2"/>
  <c r="J44" i="2"/>
  <c r="J35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194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80" i="2"/>
  <c r="G178" i="2"/>
  <c r="G169" i="2"/>
  <c r="G170" i="2"/>
  <c r="G171" i="2"/>
  <c r="G172" i="2"/>
  <c r="G173" i="2"/>
  <c r="G174" i="2"/>
  <c r="G175" i="2"/>
  <c r="G176" i="2"/>
  <c r="G177" i="2"/>
  <c r="G162" i="2"/>
  <c r="G163" i="2"/>
  <c r="G164" i="2"/>
  <c r="G165" i="2"/>
  <c r="G166" i="2"/>
  <c r="G167" i="2"/>
  <c r="G168" i="2"/>
  <c r="G155" i="2"/>
  <c r="G156" i="2"/>
  <c r="G157" i="2"/>
  <c r="G158" i="2"/>
  <c r="G159" i="2"/>
  <c r="G160" i="2"/>
  <c r="G161" i="2"/>
  <c r="G146" i="2"/>
  <c r="G147" i="2"/>
  <c r="G148" i="2"/>
  <c r="G149" i="2"/>
  <c r="G150" i="2"/>
  <c r="G151" i="2"/>
  <c r="G152" i="2"/>
  <c r="G153" i="2"/>
  <c r="G154" i="2"/>
  <c r="G141" i="2"/>
  <c r="G142" i="2"/>
  <c r="G143" i="2"/>
  <c r="G144" i="2"/>
  <c r="G145" i="2"/>
  <c r="G133" i="2"/>
  <c r="G134" i="2"/>
  <c r="G135" i="2"/>
  <c r="G136" i="2"/>
  <c r="G137" i="2"/>
  <c r="G138" i="2"/>
  <c r="G139" i="2"/>
  <c r="G140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29" i="2"/>
  <c r="G26" i="2"/>
  <c r="G27" i="2"/>
  <c r="G23" i="2"/>
  <c r="G24" i="2"/>
  <c r="G25" i="2"/>
  <c r="G16" i="2"/>
  <c r="G17" i="2"/>
  <c r="G18" i="2"/>
  <c r="G19" i="2"/>
  <c r="G20" i="2"/>
  <c r="G21" i="2"/>
  <c r="G22" i="2"/>
  <c r="G15" i="2"/>
  <c r="G12" i="2"/>
  <c r="G13" i="2"/>
  <c r="G4" i="2"/>
  <c r="G5" i="2"/>
  <c r="G6" i="2"/>
  <c r="G7" i="2"/>
  <c r="G8" i="2"/>
  <c r="G9" i="2"/>
  <c r="G10" i="2"/>
  <c r="G11" i="2"/>
  <c r="G3" i="2"/>
  <c r="G2" i="1"/>
  <c r="E2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C2" i="2"/>
  <c r="D212" i="2"/>
  <c r="D213" i="2"/>
  <c r="D214" i="2"/>
  <c r="D208" i="2"/>
  <c r="D209" i="2"/>
  <c r="D210" i="2"/>
  <c r="D211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187" i="2"/>
  <c r="D184" i="2"/>
  <c r="D185" i="2"/>
  <c r="D182" i="2"/>
  <c r="D183" i="2"/>
  <c r="D175" i="2"/>
  <c r="D176" i="2"/>
  <c r="D177" i="2"/>
  <c r="D178" i="2"/>
  <c r="D179" i="2"/>
  <c r="D180" i="2"/>
  <c r="D181" i="2"/>
  <c r="D169" i="2"/>
  <c r="D170" i="2"/>
  <c r="D171" i="2"/>
  <c r="D172" i="2"/>
  <c r="D173" i="2"/>
  <c r="D174" i="2"/>
  <c r="D159" i="2"/>
  <c r="D160" i="2"/>
  <c r="D161" i="2"/>
  <c r="D162" i="2"/>
  <c r="D163" i="2"/>
  <c r="D164" i="2"/>
  <c r="D165" i="2"/>
  <c r="D166" i="2"/>
  <c r="D167" i="2"/>
  <c r="D168" i="2"/>
  <c r="D158" i="2"/>
  <c r="D156" i="2"/>
  <c r="D151" i="2"/>
  <c r="D152" i="2"/>
  <c r="D153" i="2"/>
  <c r="D154" i="2"/>
  <c r="D155" i="2"/>
  <c r="D147" i="2"/>
  <c r="D148" i="2"/>
  <c r="D149" i="2"/>
  <c r="D150" i="2"/>
  <c r="D140" i="2"/>
  <c r="D141" i="2"/>
  <c r="D142" i="2"/>
  <c r="D143" i="2"/>
  <c r="D144" i="2"/>
  <c r="D145" i="2"/>
  <c r="D14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20" i="2"/>
  <c r="D121" i="2"/>
  <c r="D122" i="2"/>
  <c r="D123" i="2"/>
  <c r="D124" i="2"/>
  <c r="D125" i="2"/>
  <c r="D126" i="2"/>
  <c r="D113" i="2"/>
  <c r="D114" i="2"/>
  <c r="D115" i="2"/>
  <c r="D116" i="2"/>
  <c r="D117" i="2"/>
  <c r="D118" i="2"/>
  <c r="D119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84" i="2"/>
  <c r="D85" i="2"/>
  <c r="D86" i="2"/>
  <c r="D87" i="2"/>
  <c r="D88" i="2"/>
  <c r="D89" i="2"/>
  <c r="D90" i="2"/>
  <c r="D91" i="2"/>
  <c r="D92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57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18" i="2"/>
  <c r="D15" i="2"/>
  <c r="D16" i="2"/>
  <c r="D4" i="2"/>
  <c r="D5" i="2"/>
  <c r="D6" i="2"/>
  <c r="D7" i="2"/>
  <c r="D8" i="2"/>
  <c r="D9" i="2"/>
  <c r="D10" i="2"/>
  <c r="D11" i="2"/>
  <c r="D12" i="2"/>
  <c r="D13" i="2"/>
  <c r="D14" i="2"/>
  <c r="D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A179" i="2"/>
  <c r="A180" i="2"/>
  <c r="A181" i="2"/>
  <c r="A182" i="2"/>
  <c r="A183" i="2"/>
  <c r="A184" i="2"/>
  <c r="A185" i="2"/>
  <c r="A186" i="2"/>
  <c r="A187" i="2"/>
  <c r="A188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59" i="2"/>
  <c r="A157" i="2"/>
  <c r="A155" i="2"/>
  <c r="A156" i="2"/>
  <c r="A150" i="2"/>
  <c r="A151" i="2"/>
  <c r="A152" i="2"/>
  <c r="A153" i="2"/>
  <c r="A154" i="2"/>
  <c r="A146" i="2"/>
  <c r="A147" i="2"/>
  <c r="A148" i="2"/>
  <c r="A149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30" i="2"/>
  <c r="A127" i="2"/>
  <c r="A128" i="2"/>
  <c r="A125" i="2"/>
  <c r="A126" i="2"/>
  <c r="A123" i="2"/>
  <c r="A124" i="2"/>
  <c r="A121" i="2"/>
  <c r="A122" i="2"/>
  <c r="A117" i="2"/>
  <c r="A118" i="2"/>
  <c r="A119" i="2"/>
  <c r="A120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54" i="2"/>
  <c r="A55" i="2"/>
  <c r="A56" i="2"/>
  <c r="A57" i="2"/>
  <c r="A58" i="2"/>
  <c r="A59" i="2"/>
  <c r="A60" i="2"/>
  <c r="A61" i="2"/>
  <c r="A62" i="2"/>
  <c r="A63" i="2"/>
  <c r="A64" i="2"/>
  <c r="A65" i="2"/>
  <c r="A49" i="2"/>
  <c r="A50" i="2"/>
  <c r="A51" i="2"/>
  <c r="A52" i="2"/>
  <c r="A53" i="2"/>
  <c r="A42" i="2"/>
  <c r="A43" i="2"/>
  <c r="A44" i="2"/>
  <c r="A45" i="2"/>
  <c r="A46" i="2"/>
  <c r="A47" i="2"/>
  <c r="A48" i="2"/>
  <c r="A30" i="2"/>
  <c r="A31" i="2"/>
  <c r="A32" i="2"/>
  <c r="A33" i="2"/>
  <c r="A34" i="2"/>
  <c r="A35" i="2"/>
  <c r="A36" i="2"/>
  <c r="A37" i="2"/>
  <c r="A38" i="2"/>
  <c r="A39" i="2"/>
  <c r="A40" i="2"/>
  <c r="A41" i="2"/>
  <c r="A29" i="2"/>
  <c r="A27" i="2"/>
  <c r="A25" i="2"/>
  <c r="A26" i="2"/>
  <c r="A21" i="2"/>
  <c r="A22" i="2"/>
  <c r="A23" i="2"/>
  <c r="A24" i="2"/>
  <c r="A11" i="2"/>
  <c r="A12" i="2"/>
  <c r="A13" i="2"/>
  <c r="A14" i="2"/>
  <c r="A15" i="2"/>
  <c r="A16" i="2"/>
  <c r="A17" i="2"/>
  <c r="A18" i="2"/>
  <c r="A19" i="2"/>
  <c r="A20" i="2"/>
  <c r="A10" i="2"/>
  <c r="A4" i="2"/>
  <c r="A5" i="2"/>
  <c r="A6" i="2"/>
  <c r="A7" i="2"/>
  <c r="A8" i="2"/>
  <c r="A3" i="2"/>
  <c r="A3" i="1"/>
  <c r="A4" i="7" l="1"/>
  <c r="M3" i="6"/>
  <c r="K3" i="6"/>
  <c r="I3" i="6"/>
  <c r="G3" i="6"/>
  <c r="E3" i="6"/>
  <c r="C3" i="6"/>
  <c r="A4" i="6"/>
  <c r="A4" i="5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M3" i="1"/>
  <c r="K3" i="1"/>
  <c r="I3" i="1"/>
  <c r="G3" i="1"/>
  <c r="E3" i="1"/>
  <c r="C3" i="1"/>
  <c r="A4" i="1"/>
  <c r="A5" i="7" l="1"/>
  <c r="M4" i="6"/>
  <c r="K4" i="6"/>
  <c r="I4" i="6"/>
  <c r="G4" i="6"/>
  <c r="E4" i="6"/>
  <c r="C4" i="6"/>
  <c r="A5" i="6"/>
  <c r="A5" i="5"/>
  <c r="M4" i="1"/>
  <c r="K4" i="1"/>
  <c r="I4" i="1"/>
  <c r="G4" i="1"/>
  <c r="E4" i="1"/>
  <c r="C4" i="1"/>
  <c r="A5" i="1"/>
  <c r="A6" i="7" l="1"/>
  <c r="M5" i="6"/>
  <c r="K5" i="6"/>
  <c r="I5" i="6"/>
  <c r="G5" i="6"/>
  <c r="E5" i="6"/>
  <c r="C5" i="6"/>
  <c r="A6" i="6"/>
  <c r="A6" i="5"/>
  <c r="M5" i="1"/>
  <c r="K5" i="1"/>
  <c r="I5" i="1"/>
  <c r="G5" i="1"/>
  <c r="E5" i="1"/>
  <c r="C5" i="1"/>
  <c r="A6" i="1"/>
  <c r="A7" i="7" l="1"/>
  <c r="M6" i="6"/>
  <c r="K6" i="6"/>
  <c r="I6" i="6"/>
  <c r="G6" i="6"/>
  <c r="E6" i="6"/>
  <c r="C6" i="6"/>
  <c r="A7" i="6"/>
  <c r="A7" i="5"/>
  <c r="M6" i="1"/>
  <c r="K6" i="1"/>
  <c r="I6" i="1"/>
  <c r="G6" i="1"/>
  <c r="E6" i="1"/>
  <c r="C6" i="1"/>
  <c r="A7" i="1"/>
  <c r="A8" i="7" l="1"/>
  <c r="M7" i="6"/>
  <c r="K7" i="6"/>
  <c r="I7" i="6"/>
  <c r="G7" i="6"/>
  <c r="E7" i="6"/>
  <c r="C7" i="6"/>
  <c r="A8" i="6"/>
  <c r="A8" i="5"/>
  <c r="M7" i="1"/>
  <c r="K7" i="1"/>
  <c r="I7" i="1"/>
  <c r="G7" i="1"/>
  <c r="E7" i="1"/>
  <c r="C7" i="1"/>
  <c r="A8" i="1"/>
  <c r="A9" i="7" l="1"/>
  <c r="M8" i="6"/>
  <c r="K8" i="6"/>
  <c r="I8" i="6"/>
  <c r="G8" i="6"/>
  <c r="E8" i="6"/>
  <c r="C8" i="6"/>
  <c r="A9" i="6"/>
  <c r="A9" i="5"/>
  <c r="M8" i="1"/>
  <c r="K8" i="1"/>
  <c r="I8" i="1"/>
  <c r="G8" i="1"/>
  <c r="E8" i="1"/>
  <c r="C8" i="1"/>
  <c r="A9" i="1"/>
  <c r="A10" i="7" l="1"/>
  <c r="M9" i="6"/>
  <c r="K9" i="6"/>
  <c r="I9" i="6"/>
  <c r="G9" i="6"/>
  <c r="E9" i="6"/>
  <c r="C9" i="6"/>
  <c r="A10" i="6"/>
  <c r="A10" i="5"/>
  <c r="M9" i="1"/>
  <c r="K9" i="1"/>
  <c r="I9" i="1"/>
  <c r="G9" i="1"/>
  <c r="E9" i="1"/>
  <c r="C9" i="1"/>
  <c r="A10" i="1"/>
  <c r="A11" i="7" l="1"/>
  <c r="M10" i="6"/>
  <c r="K10" i="6"/>
  <c r="I10" i="6"/>
  <c r="G10" i="6"/>
  <c r="E10" i="6"/>
  <c r="C10" i="6"/>
  <c r="A11" i="6"/>
  <c r="A11" i="5"/>
  <c r="M10" i="1"/>
  <c r="K10" i="1"/>
  <c r="I10" i="1"/>
  <c r="G10" i="1"/>
  <c r="E10" i="1"/>
  <c r="C10" i="1"/>
  <c r="A11" i="1"/>
  <c r="A12" i="7" l="1"/>
  <c r="M11" i="6"/>
  <c r="K11" i="6"/>
  <c r="I11" i="6"/>
  <c r="G11" i="6"/>
  <c r="E11" i="6"/>
  <c r="C11" i="6"/>
  <c r="A12" i="6"/>
  <c r="A12" i="5"/>
  <c r="M11" i="1"/>
  <c r="K11" i="1"/>
  <c r="I11" i="1"/>
  <c r="G11" i="1"/>
  <c r="E11" i="1"/>
  <c r="C11" i="1"/>
  <c r="A12" i="1"/>
  <c r="A13" i="7" l="1"/>
  <c r="M12" i="6"/>
  <c r="K12" i="6"/>
  <c r="I12" i="6"/>
  <c r="G12" i="6"/>
  <c r="E12" i="6"/>
  <c r="C12" i="6"/>
  <c r="A13" i="6"/>
  <c r="A13" i="5"/>
  <c r="M12" i="1"/>
  <c r="K12" i="1"/>
  <c r="I12" i="1"/>
  <c r="G12" i="1"/>
  <c r="E12" i="1"/>
  <c r="C12" i="1"/>
  <c r="A13" i="1"/>
  <c r="A14" i="7" l="1"/>
  <c r="M13" i="6"/>
  <c r="K13" i="6"/>
  <c r="I13" i="6"/>
  <c r="G13" i="6"/>
  <c r="E13" i="6"/>
  <c r="C13" i="6"/>
  <c r="A14" i="6"/>
  <c r="A14" i="5"/>
  <c r="M13" i="1"/>
  <c r="K13" i="1"/>
  <c r="A14" i="1"/>
  <c r="I13" i="1"/>
  <c r="G13" i="1"/>
  <c r="E13" i="1"/>
  <c r="C13" i="1"/>
  <c r="A15" i="7" l="1"/>
  <c r="M14" i="6"/>
  <c r="K14" i="6"/>
  <c r="I14" i="6"/>
  <c r="G14" i="6"/>
  <c r="E14" i="6"/>
  <c r="C14" i="6"/>
  <c r="A15" i="6"/>
  <c r="A15" i="5"/>
  <c r="M14" i="1"/>
  <c r="K14" i="1"/>
  <c r="I14" i="1"/>
  <c r="G14" i="1"/>
  <c r="E14" i="1"/>
  <c r="C14" i="1"/>
  <c r="A15" i="1"/>
  <c r="A16" i="7" l="1"/>
  <c r="M15" i="6"/>
  <c r="K15" i="6"/>
  <c r="I15" i="6"/>
  <c r="G15" i="6"/>
  <c r="E15" i="6"/>
  <c r="C15" i="6"/>
  <c r="A16" i="6"/>
  <c r="A16" i="5"/>
  <c r="K15" i="1"/>
  <c r="M15" i="1"/>
  <c r="I15" i="1"/>
  <c r="G15" i="1"/>
  <c r="E15" i="1"/>
  <c r="C15" i="1"/>
  <c r="A16" i="1"/>
  <c r="A17" i="7" l="1"/>
  <c r="M16" i="6"/>
  <c r="K16" i="6"/>
  <c r="I16" i="6"/>
  <c r="G16" i="6"/>
  <c r="E16" i="6"/>
  <c r="C16" i="6"/>
  <c r="A17" i="6"/>
  <c r="A17" i="5"/>
  <c r="M16" i="1"/>
  <c r="K16" i="1"/>
  <c r="I16" i="1"/>
  <c r="G16" i="1"/>
  <c r="E16" i="1"/>
  <c r="C16" i="1"/>
  <c r="A17" i="1"/>
  <c r="A18" i="7" l="1"/>
  <c r="M17" i="6"/>
  <c r="K17" i="6"/>
  <c r="I17" i="6"/>
  <c r="G17" i="6"/>
  <c r="E17" i="6"/>
  <c r="C17" i="6"/>
  <c r="A18" i="6"/>
  <c r="A18" i="5"/>
  <c r="M17" i="1"/>
  <c r="K17" i="1"/>
  <c r="I17" i="1"/>
  <c r="G17" i="1"/>
  <c r="E17" i="1"/>
  <c r="C17" i="1"/>
  <c r="A18" i="1"/>
  <c r="A19" i="7" l="1"/>
  <c r="M18" i="6"/>
  <c r="K18" i="6"/>
  <c r="I18" i="6"/>
  <c r="G18" i="6"/>
  <c r="E18" i="6"/>
  <c r="C18" i="6"/>
  <c r="A19" i="6"/>
  <c r="A19" i="5"/>
  <c r="M18" i="1"/>
  <c r="K18" i="1"/>
  <c r="I18" i="1"/>
  <c r="G18" i="1"/>
  <c r="E18" i="1"/>
  <c r="C18" i="1"/>
  <c r="A19" i="1"/>
  <c r="A20" i="7" l="1"/>
  <c r="M19" i="6"/>
  <c r="K19" i="6"/>
  <c r="I19" i="6"/>
  <c r="G19" i="6"/>
  <c r="E19" i="6"/>
  <c r="C19" i="6"/>
  <c r="A20" i="6"/>
  <c r="A20" i="5"/>
  <c r="M19" i="1"/>
  <c r="K19" i="1"/>
  <c r="I19" i="1"/>
  <c r="G19" i="1"/>
  <c r="E19" i="1"/>
  <c r="C19" i="1"/>
  <c r="A20" i="1"/>
  <c r="A21" i="7" l="1"/>
  <c r="M20" i="6"/>
  <c r="K20" i="6"/>
  <c r="I20" i="6"/>
  <c r="G20" i="6"/>
  <c r="E20" i="6"/>
  <c r="C20" i="6"/>
  <c r="A21" i="6"/>
  <c r="A21" i="5"/>
  <c r="M20" i="1"/>
  <c r="K20" i="1"/>
  <c r="I20" i="1"/>
  <c r="G20" i="1"/>
  <c r="E20" i="1"/>
  <c r="C20" i="1"/>
  <c r="A21" i="1"/>
  <c r="A22" i="7" l="1"/>
  <c r="M21" i="6"/>
  <c r="K21" i="6"/>
  <c r="I21" i="6"/>
  <c r="G21" i="6"/>
  <c r="E21" i="6"/>
  <c r="C21" i="6"/>
  <c r="A22" i="6"/>
  <c r="A22" i="5"/>
  <c r="M21" i="1"/>
  <c r="K21" i="1"/>
  <c r="I21" i="1"/>
  <c r="G21" i="1"/>
  <c r="E21" i="1"/>
  <c r="C21" i="1"/>
  <c r="A22" i="1"/>
  <c r="A23" i="7" l="1"/>
  <c r="M22" i="6"/>
  <c r="K22" i="6"/>
  <c r="I22" i="6"/>
  <c r="G22" i="6"/>
  <c r="E22" i="6"/>
  <c r="C22" i="6"/>
  <c r="A23" i="6"/>
  <c r="A23" i="5"/>
  <c r="M22" i="1"/>
  <c r="K22" i="1"/>
  <c r="I22" i="1"/>
  <c r="G22" i="1"/>
  <c r="E22" i="1"/>
  <c r="C22" i="1"/>
  <c r="A23" i="1"/>
  <c r="A24" i="7" l="1"/>
  <c r="M23" i="6"/>
  <c r="K23" i="6"/>
  <c r="I23" i="6"/>
  <c r="G23" i="6"/>
  <c r="E23" i="6"/>
  <c r="C23" i="6"/>
  <c r="A24" i="6"/>
  <c r="A24" i="5"/>
  <c r="M23" i="1"/>
  <c r="K23" i="1"/>
  <c r="I23" i="1"/>
  <c r="G23" i="1"/>
  <c r="E23" i="1"/>
  <c r="C23" i="1"/>
  <c r="A24" i="1"/>
  <c r="A25" i="7" l="1"/>
  <c r="M24" i="6"/>
  <c r="K24" i="6"/>
  <c r="I24" i="6"/>
  <c r="G24" i="6"/>
  <c r="E24" i="6"/>
  <c r="C24" i="6"/>
  <c r="A25" i="6"/>
  <c r="A25" i="5"/>
  <c r="M24" i="1"/>
  <c r="K24" i="1"/>
  <c r="I24" i="1"/>
  <c r="G24" i="1"/>
  <c r="E24" i="1"/>
  <c r="C24" i="1"/>
  <c r="A25" i="1"/>
  <c r="A26" i="7" l="1"/>
  <c r="M25" i="6"/>
  <c r="K25" i="6"/>
  <c r="I25" i="6"/>
  <c r="G25" i="6"/>
  <c r="E25" i="6"/>
  <c r="C25" i="6"/>
  <c r="A26" i="6"/>
  <c r="A26" i="5"/>
  <c r="M25" i="1"/>
  <c r="K25" i="1"/>
  <c r="I25" i="1"/>
  <c r="G25" i="1"/>
  <c r="E25" i="1"/>
  <c r="C25" i="1"/>
  <c r="A26" i="1"/>
  <c r="A27" i="7" l="1"/>
  <c r="M26" i="6"/>
  <c r="K26" i="6"/>
  <c r="I26" i="6"/>
  <c r="G26" i="6"/>
  <c r="E26" i="6"/>
  <c r="C26" i="6"/>
  <c r="A27" i="6"/>
  <c r="A27" i="5"/>
  <c r="M26" i="1"/>
  <c r="K26" i="1"/>
  <c r="I26" i="1"/>
  <c r="G26" i="1"/>
  <c r="E26" i="1"/>
  <c r="C26" i="1"/>
  <c r="A27" i="1"/>
  <c r="M27" i="6" l="1"/>
  <c r="K27" i="6"/>
  <c r="I27" i="6"/>
  <c r="G27" i="6"/>
  <c r="E27" i="6"/>
  <c r="C27" i="6"/>
  <c r="M27" i="1"/>
  <c r="K27" i="1"/>
  <c r="I27" i="1"/>
  <c r="G27" i="1"/>
  <c r="E27" i="1"/>
  <c r="C27" i="1"/>
</calcChain>
</file>

<file path=xl/sharedStrings.xml><?xml version="1.0" encoding="utf-8"?>
<sst xmlns="http://schemas.openxmlformats.org/spreadsheetml/2006/main" count="1005" uniqueCount="524">
  <si>
    <t>Wavelength</t>
  </si>
  <si>
    <t>Img-1.360</t>
  </si>
  <si>
    <t>CL-1.360</t>
  </si>
  <si>
    <t>Img-1.380</t>
  </si>
  <si>
    <t>CL-1.380</t>
  </si>
  <si>
    <t>Img-1.368</t>
  </si>
  <si>
    <t>CL-1.368</t>
  </si>
  <si>
    <t>Img-1.392</t>
  </si>
  <si>
    <t>CL-1.392</t>
  </si>
  <si>
    <t>Img-1.381</t>
  </si>
  <si>
    <t>CL-1.381</t>
  </si>
  <si>
    <t>Img-1.395</t>
  </si>
  <si>
    <t>CL-1.395</t>
  </si>
  <si>
    <t>CL_Real Y Core-1.360</t>
  </si>
  <si>
    <t>Wavelength for SPP</t>
  </si>
  <si>
    <t>Real-SPP-1.360</t>
  </si>
  <si>
    <t>Sensor Design</t>
  </si>
  <si>
    <t>Cell Type</t>
  </si>
  <si>
    <t>WS (nm/RIU)</t>
  </si>
  <si>
    <t>AS (1/RIU)</t>
  </si>
  <si>
    <t>Res (x10^-5 RIU)</t>
  </si>
  <si>
    <t>Proposed Design</t>
  </si>
  <si>
    <t>Basal</t>
  </si>
  <si>
    <t>Bilateral (2024) [9]</t>
  </si>
  <si>
    <t>Bended PCF (2021) [5]</t>
  </si>
  <si>
    <t>Spiral PCF (2023) [6]</t>
  </si>
  <si>
    <t>-</t>
  </si>
  <si>
    <t>Graphene/Au/TiO2 (2023) [7]</t>
  </si>
  <si>
    <t>C-grooved (2024) [8]</t>
  </si>
  <si>
    <t>HeLa</t>
  </si>
  <si>
    <t>PC12</t>
  </si>
  <si>
    <t>Img-1.360 tg=30um</t>
  </si>
  <si>
    <t>CL-1.36 tg=30um</t>
  </si>
  <si>
    <t>Img-1.38 tg=30um</t>
  </si>
  <si>
    <t>CL-1.38 tg=30um</t>
  </si>
  <si>
    <t>Img-1.36 tg=40um</t>
  </si>
  <si>
    <t>CL-1.36 tg=40um</t>
  </si>
  <si>
    <t>Img-1.38 tg=40um</t>
  </si>
  <si>
    <t>CL-1.38 tg=40um</t>
  </si>
  <si>
    <t xml:space="preserve">Img-1.36 tg=50um </t>
  </si>
  <si>
    <t>CL-1.360 tg=50um</t>
  </si>
  <si>
    <t>Img-1.380 tg=50um</t>
  </si>
  <si>
    <t>CL-1.380 tg=50um</t>
  </si>
  <si>
    <t xml:space="preserve">Img-1.36 tg=60um </t>
  </si>
  <si>
    <t>CL-1.36 tg=60um</t>
  </si>
  <si>
    <t>Img-1.38 tg=60um</t>
  </si>
  <si>
    <t>CL-1.38 tg=60um</t>
  </si>
  <si>
    <t>tg values(um)</t>
  </si>
  <si>
    <t>WS (nm/riu)</t>
  </si>
  <si>
    <t>Img-1.36 ti=2nm</t>
  </si>
  <si>
    <t>CL-1.36 ti=2nm</t>
  </si>
  <si>
    <t>Img-1.38 ti=2nm</t>
  </si>
  <si>
    <t>CL-1.38 ti=2nm</t>
  </si>
  <si>
    <t>Img-1.36 ti=4nm</t>
  </si>
  <si>
    <t>CL-1.36 ti=4nm</t>
  </si>
  <si>
    <t>Img-1.38 ti=4nm</t>
  </si>
  <si>
    <t>CL-1.38 ti=4nm</t>
  </si>
  <si>
    <t>Img-1.36 ti=6nm</t>
  </si>
  <si>
    <t>CL-1.36 ti=6nm</t>
  </si>
  <si>
    <t>Img-1.38 ti=6nm</t>
  </si>
  <si>
    <t>CL-1.38 ti=6nm</t>
  </si>
  <si>
    <t>Img-1.36 ti=8nm</t>
  </si>
  <si>
    <t>CL-1.36 ti=8nm</t>
  </si>
  <si>
    <t>Img-1.38 ti=8nm</t>
  </si>
  <si>
    <t>CL-1.38 ti=8nm</t>
  </si>
  <si>
    <t>Img-1.36 ti=10nm</t>
  </si>
  <si>
    <t>CL-1.36 ti=10nm</t>
  </si>
  <si>
    <t>Img-1.38 ti=10nm</t>
  </si>
  <si>
    <t>CL-1.38 ti=10nm</t>
  </si>
  <si>
    <t>Img-1.36 ti=12nm</t>
  </si>
  <si>
    <t>CL-1.36 ti=12nm</t>
  </si>
  <si>
    <t>Img-1.38 ti=12nm</t>
  </si>
  <si>
    <t>CL-1.38 ti=12nm</t>
  </si>
  <si>
    <t>Img-1.36 ti=16nm</t>
  </si>
  <si>
    <t>CL-1.36 ti=16nm</t>
  </si>
  <si>
    <t>Img-1.38 ti=16nm</t>
  </si>
  <si>
    <t>CL-1.38 ti=16nm</t>
  </si>
  <si>
    <t>Img-1.36 d=0.85um</t>
  </si>
  <si>
    <t>CL-1.36 d=0.85um</t>
  </si>
  <si>
    <t>Img-1.38 d=0.85um</t>
  </si>
  <si>
    <t>CL-1.38 d=0.85um</t>
  </si>
  <si>
    <t>Img-1.36 d=0.95um</t>
  </si>
  <si>
    <t>CL-1.36 d=0.95um</t>
  </si>
  <si>
    <t>Img-1.38 d=0.95um</t>
  </si>
  <si>
    <t>CL-1.38 d=0.95um</t>
  </si>
  <si>
    <t>Img-1.36 d=1.05um</t>
  </si>
  <si>
    <t>CL-1.36 d=1.05um</t>
  </si>
  <si>
    <t>Img-1.38 d=1.05um</t>
  </si>
  <si>
    <t>CL-1.38 d=1.05um</t>
  </si>
  <si>
    <t>Img-1.36 d=1.15um</t>
  </si>
  <si>
    <t>CL-1.36 d=1.15um</t>
  </si>
  <si>
    <t>Img-1.38 d=1.15um</t>
  </si>
  <si>
    <t>CL-1.38 d=1.15um</t>
  </si>
  <si>
    <t>Img-1.36 d=1.25um</t>
  </si>
  <si>
    <t>CL-1.36 d-1.25um</t>
  </si>
  <si>
    <t>Img-1.38 d=1.25um</t>
  </si>
  <si>
    <t>CL-1.38 d=1.25um</t>
  </si>
  <si>
    <t>Img-1.36 d=1.35um</t>
  </si>
  <si>
    <t>CL-1.36 d=1.35um</t>
  </si>
  <si>
    <t>Img-1.38 d=1.35um</t>
  </si>
  <si>
    <t>CL-1.38 d=1.35um</t>
  </si>
  <si>
    <t>Img-1.36 p=2um</t>
  </si>
  <si>
    <t>CL-1.36 p=2um</t>
  </si>
  <si>
    <t>Img-1.38 p=2um</t>
  </si>
  <si>
    <t>CL-1.38 p=2um</t>
  </si>
  <si>
    <t>Img-1.36 p=2.2um</t>
  </si>
  <si>
    <t>CL-1.36 p=2.2um</t>
  </si>
  <si>
    <t>Img-1.38 p=2.2um</t>
  </si>
  <si>
    <t>CL-1.38 p=2.2um</t>
  </si>
  <si>
    <t>Img-1.36 p=2.4um</t>
  </si>
  <si>
    <t>CL-1.36 p=2.4um</t>
  </si>
  <si>
    <t>Img-1.38 p=2.4um</t>
  </si>
  <si>
    <t>CL-1.38 p=2.4um</t>
  </si>
  <si>
    <t>Img-1.36 p=2.6um</t>
  </si>
  <si>
    <t>CL-1.36 p=2.6um</t>
  </si>
  <si>
    <t>Img-1.38 p=2.6um</t>
  </si>
  <si>
    <t>CL-1.38 p=2.6um</t>
  </si>
  <si>
    <t>Img-1.36 p=2.8um</t>
  </si>
  <si>
    <t>CL-1.36 p=2.8um</t>
  </si>
  <si>
    <t>Img-1.38 p=2.8um</t>
  </si>
  <si>
    <t>CL-1.38 p=2.8um</t>
  </si>
  <si>
    <t>Img-1.36 h=4.2um</t>
  </si>
  <si>
    <t>CL-1.36 h=4.2um</t>
  </si>
  <si>
    <t>Img-1.38 h=4.2um</t>
  </si>
  <si>
    <t>CL-1.38 h=4.2um</t>
  </si>
  <si>
    <t>Img-1.36 h=4.6um</t>
  </si>
  <si>
    <t>CL-1.36 h=4.6um</t>
  </si>
  <si>
    <t>Img-1.38 h=4.6um</t>
  </si>
  <si>
    <t>CL-1.38 h=4.6um</t>
  </si>
  <si>
    <t>Img-1.36 h=5um</t>
  </si>
  <si>
    <t>CL-1.36 h=5um</t>
  </si>
  <si>
    <t>Img-1.38 h=5um</t>
  </si>
  <si>
    <t>CL-1.38 h=5um</t>
  </si>
  <si>
    <t>Img-1.36 h=5.4um</t>
  </si>
  <si>
    <t>CL-1.36 h=5.4um</t>
  </si>
  <si>
    <t>Img-1.38 h=5.4um</t>
  </si>
  <si>
    <t>CL-1.38 h=5.4um</t>
  </si>
  <si>
    <t>Img-1.36 h=5.8um</t>
  </si>
  <si>
    <t>CL-1.36 h=5.8um</t>
  </si>
  <si>
    <t>Img-1.38 h=5.8um</t>
  </si>
  <si>
    <t>CL-1.38 h=5.8um</t>
  </si>
  <si>
    <t>Wavelength for 1.36</t>
  </si>
  <si>
    <t>Wavelength for 1.38</t>
  </si>
  <si>
    <t>Img-1.36 d=0.9975um</t>
  </si>
  <si>
    <t>CL-1.36 d=0.9975um</t>
  </si>
  <si>
    <t>Img-1.38 d=0.9975um</t>
  </si>
  <si>
    <t>CL-1.38 d=0.9975um</t>
  </si>
  <si>
    <t>Img-1.36 d=1.0238um</t>
  </si>
  <si>
    <t>CL-1.36 d=1.0238um</t>
  </si>
  <si>
    <t>Img-1.38 d=1.0238um</t>
  </si>
  <si>
    <t>CL-1.38 d=1.0238um</t>
  </si>
  <si>
    <t>Img-1.36 d=1.0763um</t>
  </si>
  <si>
    <t>CL-1.36 d=1.0763um</t>
  </si>
  <si>
    <t>Img-1.38 d=1.0763um</t>
  </si>
  <si>
    <t>CL-1.38 d=1.0763um</t>
  </si>
  <si>
    <t>Img-1.36 d=1.1025um</t>
  </si>
  <si>
    <t>CL-1.36 d=1.1025um</t>
  </si>
  <si>
    <t>Img-1.38 d=1.1025um</t>
  </si>
  <si>
    <t>CL-1.38 d=1.1025um</t>
  </si>
  <si>
    <t>Img-1.38</t>
  </si>
  <si>
    <t>CL-1.38</t>
  </si>
  <si>
    <t>index=3</t>
  </si>
  <si>
    <t>Effective mode index (1)</t>
  </si>
  <si>
    <t>lda=600, imag(ewfd.neff) (1)</t>
  </si>
  <si>
    <t>lda=605, imag(ewfd.neff) (1)</t>
  </si>
  <si>
    <t>lda=610, imag(ewfd.neff) (1)</t>
  </si>
  <si>
    <t>lda=615, imag(ewfd.neff) (1)</t>
  </si>
  <si>
    <t>lda=620, imag(ewfd.neff) (1)</t>
  </si>
  <si>
    <t>lda=625, imag(ewfd.neff) (1)</t>
  </si>
  <si>
    <t>lda=630, imag(ewfd.neff) (1)</t>
  </si>
  <si>
    <t>lda=635, imag(ewfd.neff) (1)</t>
  </si>
  <si>
    <t>lda=640, imag(ewfd.neff) (1)</t>
  </si>
  <si>
    <t>lda=645, imag(ewfd.neff) (1)</t>
  </si>
  <si>
    <t>lda=650, imag(ewfd.neff) (1)</t>
  </si>
  <si>
    <t>lda=655, imag(ewfd.neff) (1)</t>
  </si>
  <si>
    <t>lda=660, imag(ewfd.neff) (1)</t>
  </si>
  <si>
    <t>lda=665, imag(ewfd.neff) (1)</t>
  </si>
  <si>
    <t>lda=670, imag(ewfd.neff) (1)</t>
  </si>
  <si>
    <t>lda=675, imag(ewfd.neff) (1)</t>
  </si>
  <si>
    <t>lda=680, imag(ewfd.neff) (1)</t>
  </si>
  <si>
    <t>lda=685, imag(ewfd.neff) (1)</t>
  </si>
  <si>
    <t>lda=690, imag(ewfd.neff) (1)</t>
  </si>
  <si>
    <t>lda=695, imag(ewfd.neff) (1)</t>
  </si>
  <si>
    <t>lda=700, imag(ewfd.neff) (1)</t>
  </si>
  <si>
    <t>lda=705, imag(ewfd.neff) (1)</t>
  </si>
  <si>
    <t>lda=710, imag(ewfd.neff) (1)</t>
  </si>
  <si>
    <t>lda=715, imag(ewfd.neff) (1)</t>
  </si>
  <si>
    <t>lda=720, imag(ewfd.neff) (1)</t>
  </si>
  <si>
    <t>lda=725, imag(ewfd.neff) (1)</t>
  </si>
  <si>
    <t>lda=730, imag(ewfd.neff) (1)</t>
  </si>
  <si>
    <t>lda=735, imag(ewfd.neff) (1)</t>
  </si>
  <si>
    <t>lda=740, imag(ewfd.neff) (1)</t>
  </si>
  <si>
    <t>lda=745, imag(ewfd.neff) (1)</t>
  </si>
  <si>
    <t>lda=750, imag(ewfd.neff) (1)</t>
  </si>
  <si>
    <t>lda=755, imag(ewfd.neff) (1)</t>
  </si>
  <si>
    <t>lda=756, imag(ewfd.neff) (1)</t>
  </si>
  <si>
    <t>lda=757, imag(ewfd.neff) (1)</t>
  </si>
  <si>
    <t>lda=758, imag(ewfd.neff) (1)</t>
  </si>
  <si>
    <t>lda=759, imag(ewfd.neff) (1)</t>
  </si>
  <si>
    <t>lda=760, imag(ewfd.neff) (1)</t>
  </si>
  <si>
    <t>lda=761, imag(ewfd.neff) (1)</t>
  </si>
  <si>
    <t>lda=762, imag(ewfd.neff) (1)</t>
  </si>
  <si>
    <t>lda=763, imag(ewfd.neff) (1)</t>
  </si>
  <si>
    <t>lda=764, imag(ewfd.neff) (1)</t>
  </si>
  <si>
    <t>lda=765, imag(ewfd.neff) (1)</t>
  </si>
  <si>
    <t>lda=766, imag(ewfd.neff) (1)</t>
  </si>
  <si>
    <t>lda=767, imag(ewfd.neff) (1)</t>
  </si>
  <si>
    <t>lda=768, imag(ewfd.neff) (1)</t>
  </si>
  <si>
    <t>lda=769, imag(ewfd.neff) (1)</t>
  </si>
  <si>
    <t>lda=770, imag(ewfd.neff) (1)</t>
  </si>
  <si>
    <t>lda=770.2, imag(ewfd.neff) (1)</t>
  </si>
  <si>
    <t>lda=770.4, imag(ewfd.neff) (1)</t>
  </si>
  <si>
    <t>lda=770.6, imag(ewfd.neff) (1)</t>
  </si>
  <si>
    <t>lda=770.8, imag(ewfd.neff) (1)</t>
  </si>
  <si>
    <t>lda=771, imag(ewfd.neff) (1)</t>
  </si>
  <si>
    <t>lda=771.2, imag(ewfd.neff) (1)</t>
  </si>
  <si>
    <t>lda=771.4, imag(ewfd.neff) (1)</t>
  </si>
  <si>
    <t>lda=771.6, imag(ewfd.neff) (1)</t>
  </si>
  <si>
    <t>lda=771.8, imag(ewfd.neff) (1)</t>
  </si>
  <si>
    <t>lda=772, imag(ewfd.neff) (1)</t>
  </si>
  <si>
    <t>lda=772.2, imag(ewfd.neff) (1)</t>
  </si>
  <si>
    <t>lda=772.4, imag(ewfd.neff) (1)</t>
  </si>
  <si>
    <t>lda=772.6, imag(ewfd.neff) (1)</t>
  </si>
  <si>
    <t>lda=772.8, imag(ewfd.neff) (1)</t>
  </si>
  <si>
    <t>lda=773, imag(ewfd.neff) (1)</t>
  </si>
  <si>
    <t>lda=773.2, imag(ewfd.neff) (1)</t>
  </si>
  <si>
    <t>lda=773.4, imag(ewfd.neff) (1)</t>
  </si>
  <si>
    <t>lda=773.6, imag(ewfd.neff) (1)</t>
  </si>
  <si>
    <t>lda=773.8, imag(ewfd.neff) (1)</t>
  </si>
  <si>
    <t>lda=774, imag(ewfd.neff) (1)</t>
  </si>
  <si>
    <t>lda=774.2, imag(ewfd.neff) (1)</t>
  </si>
  <si>
    <t>lda=774.4, imag(ewfd.neff) (1)</t>
  </si>
  <si>
    <t>lda=774.6, imag(ewfd.neff) (1)</t>
  </si>
  <si>
    <t>lda=774.8, imag(ewfd.neff) (1)</t>
  </si>
  <si>
    <t>lda=775, imag(ewfd.neff) (1)</t>
  </si>
  <si>
    <t>lda=775.2, imag(ewfd.neff) (1)</t>
  </si>
  <si>
    <t>lda=775.4, imag(ewfd.neff) (1)</t>
  </si>
  <si>
    <t>lda=775.6, imag(ewfd.neff) (1)</t>
  </si>
  <si>
    <t>lda=775.8, imag(ewfd.neff) (1)</t>
  </si>
  <si>
    <t>lda=776, imag(ewfd.neff) (1)</t>
  </si>
  <si>
    <t>lda=776.2, imag(ewfd.neff) (1)</t>
  </si>
  <si>
    <t>lda=776.4, imag(ewfd.neff) (1)</t>
  </si>
  <si>
    <t>lda=776.6, imag(ewfd.neff) (1)</t>
  </si>
  <si>
    <t>lda=776.8, imag(ewfd.neff) (1)</t>
  </si>
  <si>
    <t>lda=777, imag(ewfd.neff) (1)</t>
  </si>
  <si>
    <t>lda=777.2, imag(ewfd.neff) (1)</t>
  </si>
  <si>
    <t>lda=777.4, imag(ewfd.neff) (1)</t>
  </si>
  <si>
    <t>lda=777.6, imag(ewfd.neff) (1)</t>
  </si>
  <si>
    <t>lda=777.8, imag(ewfd.neff) (1)</t>
  </si>
  <si>
    <t>lda=778, imag(ewfd.neff) (1)</t>
  </si>
  <si>
    <t>lda=778.2, imag(ewfd.neff) (1)</t>
  </si>
  <si>
    <t>lda=778.4, imag(ewfd.neff) (1)</t>
  </si>
  <si>
    <t>lda=778.6, imag(ewfd.neff) (1)</t>
  </si>
  <si>
    <t>lda=778.8, imag(ewfd.neff) (1)</t>
  </si>
  <si>
    <t>lda=779, imag(ewfd.neff) (1)</t>
  </si>
  <si>
    <t>lda=779.2, imag(ewfd.neff) (1)</t>
  </si>
  <si>
    <t>lda=779.4, imag(ewfd.neff) (1)</t>
  </si>
  <si>
    <t>lda=779.6, imag(ewfd.neff) (1)</t>
  </si>
  <si>
    <t>lda=779.8, imag(ewfd.neff) (1)</t>
  </si>
  <si>
    <t>lda=780, imag(ewfd.neff) (1)</t>
  </si>
  <si>
    <t>lda=780.2, imag(ewfd.neff) (1)</t>
  </si>
  <si>
    <t>lda=780.4, imag(ewfd.neff) (1)</t>
  </si>
  <si>
    <t>lda=780.6, imag(ewfd.neff) (1)</t>
  </si>
  <si>
    <t>lda=780.8, imag(ewfd.neff) (1)</t>
  </si>
  <si>
    <t>lda=781, imag(ewfd.neff) (1)</t>
  </si>
  <si>
    <t>lda=781.2, imag(ewfd.neff) (1)</t>
  </si>
  <si>
    <t>lda=781.4, imag(ewfd.neff) (1)</t>
  </si>
  <si>
    <t>lda=781.6, imag(ewfd.neff) (1)</t>
  </si>
  <si>
    <t>lda=781.8, imag(ewfd.neff) (1)</t>
  </si>
  <si>
    <t>lda=782, imag(ewfd.neff) (1)</t>
  </si>
  <si>
    <t>lda=782.2, imag(ewfd.neff) (1)</t>
  </si>
  <si>
    <t>lda=782.4, imag(ewfd.neff) (1)</t>
  </si>
  <si>
    <t>lda=782.6, imag(ewfd.neff) (1)</t>
  </si>
  <si>
    <t>lda=782.8, imag(ewfd.neff) (1)</t>
  </si>
  <si>
    <t>lda=783, imag(ewfd.neff) (1)</t>
  </si>
  <si>
    <t>lda=783.2, imag(ewfd.neff) (1)</t>
  </si>
  <si>
    <t>lda=783.4, imag(ewfd.neff) (1)</t>
  </si>
  <si>
    <t>lda=783.6, imag(ewfd.neff) (1)</t>
  </si>
  <si>
    <t>lda=783.8, imag(ewfd.neff) (1)</t>
  </si>
  <si>
    <t>lda=784, imag(ewfd.neff) (1)</t>
  </si>
  <si>
    <t>lda=784.2, imag(ewfd.neff) (1)</t>
  </si>
  <si>
    <t>lda=784.4, imag(ewfd.neff) (1)</t>
  </si>
  <si>
    <t>lda=784.6, imag(ewfd.neff) (1)</t>
  </si>
  <si>
    <t>lda=784.8, imag(ewfd.neff) (1)</t>
  </si>
  <si>
    <t>lda=785, imag(ewfd.neff) (1)</t>
  </si>
  <si>
    <t>lda=785.2, imag(ewfd.neff) (1)</t>
  </si>
  <si>
    <t>lda=785.4, imag(ewfd.neff) (1)</t>
  </si>
  <si>
    <t>lda=785.6, imag(ewfd.neff) (1)</t>
  </si>
  <si>
    <t>lda=785.8, imag(ewfd.neff) (1)</t>
  </si>
  <si>
    <t>lda=786, imag(ewfd.neff) (1)</t>
  </si>
  <si>
    <t>lda=786.2, imag(ewfd.neff) (1)</t>
  </si>
  <si>
    <t>lda=786.4, imag(ewfd.neff) (1)</t>
  </si>
  <si>
    <t>lda=786.6, imag(ewfd.neff) (1)</t>
  </si>
  <si>
    <t>lda=786.8, imag(ewfd.neff) (1)</t>
  </si>
  <si>
    <t>lda=787, imag(ewfd.neff) (1)</t>
  </si>
  <si>
    <t>lda=787.2, imag(ewfd.neff) (1)</t>
  </si>
  <si>
    <t>lda=787.4, imag(ewfd.neff) (1)</t>
  </si>
  <si>
    <t>lda=787.6, imag(ewfd.neff) (1)</t>
  </si>
  <si>
    <t>lda=787.8, imag(ewfd.neff) (1)</t>
  </si>
  <si>
    <t>lda=788, imag(ewfd.neff) (1)</t>
  </si>
  <si>
    <t>lda=788.2, imag(ewfd.neff) (1)</t>
  </si>
  <si>
    <t>lda=788.4, imag(ewfd.neff) (1)</t>
  </si>
  <si>
    <t>lda=788.6, imag(ewfd.neff) (1)</t>
  </si>
  <si>
    <t>lda=788.8, imag(ewfd.neff) (1)</t>
  </si>
  <si>
    <t>lda=789, imag(ewfd.neff) (1)</t>
  </si>
  <si>
    <t>lda=789.2, imag(ewfd.neff) (1)</t>
  </si>
  <si>
    <t>lda=789.4, imag(ewfd.neff) (1)</t>
  </si>
  <si>
    <t>lda=789.6, imag(ewfd.neff) (1)</t>
  </si>
  <si>
    <t>lda=789.8, imag(ewfd.neff) (1)</t>
  </si>
  <si>
    <t>lda=790, imag(ewfd.neff) (1)</t>
  </si>
  <si>
    <t>lda=790.2, imag(ewfd.neff) (1)</t>
  </si>
  <si>
    <t>lda=790.4, imag(ewfd.neff) (1)</t>
  </si>
  <si>
    <t>lda=790.6, imag(ewfd.neff) (1)</t>
  </si>
  <si>
    <t>lda=790.8, imag(ewfd.neff) (1)</t>
  </si>
  <si>
    <t>lda=791, imag(ewfd.neff) (1)</t>
  </si>
  <si>
    <t>lda=791.2, imag(ewfd.neff) (1)</t>
  </si>
  <si>
    <t>lda=791.4, imag(ewfd.neff) (1)</t>
  </si>
  <si>
    <t>lda=791.6, imag(ewfd.neff) (1)</t>
  </si>
  <si>
    <t>lda=791.8, imag(ewfd.neff) (1)</t>
  </si>
  <si>
    <t>lda=792, imag(ewfd.neff) (1)</t>
  </si>
  <si>
    <t>lda=792.2, imag(ewfd.neff) (1)</t>
  </si>
  <si>
    <t>lda=792.4, imag(ewfd.neff) (1)</t>
  </si>
  <si>
    <t>lda=792.6, imag(ewfd.neff) (1)</t>
  </si>
  <si>
    <t>lda=792.8, imag(ewfd.neff) (1)</t>
  </si>
  <si>
    <t>lda=793, imag(ewfd.neff) (1)</t>
  </si>
  <si>
    <t>lda=793.2, imag(ewfd.neff) (1)</t>
  </si>
  <si>
    <t>lda=793.4, imag(ewfd.neff) (1)</t>
  </si>
  <si>
    <t>lda=793.6, imag(ewfd.neff) (1)</t>
  </si>
  <si>
    <t>lda=793.8, imag(ewfd.neff) (1)</t>
  </si>
  <si>
    <t>lda=794, imag(ewfd.neff) (1)</t>
  </si>
  <si>
    <t>lda=794.2, imag(ewfd.neff) (1)</t>
  </si>
  <si>
    <t>lda=794.4, imag(ewfd.neff) (1)</t>
  </si>
  <si>
    <t>lda=794.6, imag(ewfd.neff) (1)</t>
  </si>
  <si>
    <t>lda=794.8, imag(ewfd.neff) (1)</t>
  </si>
  <si>
    <t>lda=795, imag(ewfd.neff) (1)</t>
  </si>
  <si>
    <t>lda=795.2, imag(ewfd.neff) (1)</t>
  </si>
  <si>
    <t>lda=795.4, imag(ewfd.neff) (1)</t>
  </si>
  <si>
    <t>lda=795.6, imag(ewfd.neff) (1)</t>
  </si>
  <si>
    <t>lda=795.8, imag(ewfd.neff) (1)</t>
  </si>
  <si>
    <t>lda=796, imag(ewfd.neff) (1)</t>
  </si>
  <si>
    <t>lda=796.2, imag(ewfd.neff) (1)</t>
  </si>
  <si>
    <t>lda=796.4, imag(ewfd.neff) (1)</t>
  </si>
  <si>
    <t>lda=796.6, imag(ewfd.neff) (1)</t>
  </si>
  <si>
    <t>lda=796.8, imag(ewfd.neff) (1)</t>
  </si>
  <si>
    <t>lda=797, imag(ewfd.neff) (1)</t>
  </si>
  <si>
    <t>lda=797.2, imag(ewfd.neff) (1)</t>
  </si>
  <si>
    <t>lda=797.4, imag(ewfd.neff) (1)</t>
  </si>
  <si>
    <t>lda=797.6, imag(ewfd.neff) (1)</t>
  </si>
  <si>
    <t>lda=797.8, imag(ewfd.neff) (1)</t>
  </si>
  <si>
    <t>lda=798, imag(ewfd.neff) (1)</t>
  </si>
  <si>
    <t>lda=798.2, imag(ewfd.neff) (1)</t>
  </si>
  <si>
    <t>lda=798.4, imag(ewfd.neff) (1)</t>
  </si>
  <si>
    <t>lda=798.6, imag(ewfd.neff) (1)</t>
  </si>
  <si>
    <t>lda=798.8, imag(ewfd.neff) (1)</t>
  </si>
  <si>
    <t>lda=799, imag(ewfd.neff) (1)</t>
  </si>
  <si>
    <t>lda=799.2, imag(ewfd.neff) (1)</t>
  </si>
  <si>
    <t>lda=799.4, imag(ewfd.neff) (1)</t>
  </si>
  <si>
    <t>lda=799.6, imag(ewfd.neff) (1)</t>
  </si>
  <si>
    <t>lda=799.8, imag(ewfd.neff) (1)</t>
  </si>
  <si>
    <t>lda=800, imag(ewfd.neff) (1)</t>
  </si>
  <si>
    <t>lda=801, imag(ewfd.neff) (1)</t>
  </si>
  <si>
    <t>lda=802, imag(ewfd.neff) (1)</t>
  </si>
  <si>
    <t>lda=803, imag(ewfd.neff) (1)</t>
  </si>
  <si>
    <t>lda=804, imag(ewfd.neff) (1)</t>
  </si>
  <si>
    <t>lda=805, imag(ewfd.neff) (1)</t>
  </si>
  <si>
    <t>lda=806, imag(ewfd.neff) (1)</t>
  </si>
  <si>
    <t>lda=807, imag(ewfd.neff) (1)</t>
  </si>
  <si>
    <t>lda=808, imag(ewfd.neff) (1)</t>
  </si>
  <si>
    <t>lda=809, imag(ewfd.neff) (1)</t>
  </si>
  <si>
    <t>lda=810, imag(ewfd.neff) (1)</t>
  </si>
  <si>
    <t>lda=811, imag(ewfd.neff) (1)</t>
  </si>
  <si>
    <t>lda=812, imag(ewfd.neff) (1)</t>
  </si>
  <si>
    <t>lda=813, imag(ewfd.neff) (1)</t>
  </si>
  <si>
    <t>lda=814, imag(ewfd.neff) (1)</t>
  </si>
  <si>
    <t>lda=815, imag(ewfd.neff) (1)</t>
  </si>
  <si>
    <t>lda=820, imag(ewfd.neff) (1)</t>
  </si>
  <si>
    <t>lda=825, imag(ewfd.neff) (1)</t>
  </si>
  <si>
    <t>lda=830, imag(ewfd.neff) (1)</t>
  </si>
  <si>
    <t>lda=835, imag(ewfd.neff) (1)</t>
  </si>
  <si>
    <t>lda=840, imag(ewfd.neff) (1)</t>
  </si>
  <si>
    <t>lda=845, imag(ewfd.neff) (1)</t>
  </si>
  <si>
    <t>lda=850, imag(ewfd.neff) (1)</t>
  </si>
  <si>
    <t>lda=692, imag(ewfd.neff) (1)</t>
  </si>
  <si>
    <t>lda=693, imag(ewfd.neff) (1)</t>
  </si>
  <si>
    <t>lda=694, imag(ewfd.neff) (1)</t>
  </si>
  <si>
    <t>lda=696, imag(ewfd.neff) (1)</t>
  </si>
  <si>
    <t>lda=697, imag(ewfd.neff) (1)</t>
  </si>
  <si>
    <t>lda=698, imag(ewfd.neff) (1)</t>
  </si>
  <si>
    <t>lda=699, imag(ewfd.neff) (1)</t>
  </si>
  <si>
    <t>lda=701, imag(ewfd.neff) (1)</t>
  </si>
  <si>
    <t>lda=702, imag(ewfd.neff) (1)</t>
  </si>
  <si>
    <t>lda=703, imag(ewfd.neff) (1)</t>
  </si>
  <si>
    <t>lda=704, imag(ewfd.neff) (1)</t>
  </si>
  <si>
    <t>lda=706, imag(ewfd.neff) (1)</t>
  </si>
  <si>
    <t>lda=707, imag(ewfd.neff) (1)</t>
  </si>
  <si>
    <t>lda=708, imag(ewfd.neff) (1)</t>
  </si>
  <si>
    <t>lda=709, imag(ewfd.neff) (1)</t>
  </si>
  <si>
    <t>lda=710.2, imag(ewfd.neff) (1)</t>
  </si>
  <si>
    <t>lda=710.4, imag(ewfd.neff) (1)</t>
  </si>
  <si>
    <t>lda=710.6, imag(ewfd.neff) (1)</t>
  </si>
  <si>
    <t>lda=710.8, imag(ewfd.neff) (1)</t>
  </si>
  <si>
    <t>lda=711, imag(ewfd.neff) (1)</t>
  </si>
  <si>
    <t>lda=711.2, imag(ewfd.neff) (1)</t>
  </si>
  <si>
    <t>lda=711.4, imag(ewfd.neff) (1)</t>
  </si>
  <si>
    <t>lda=711.6, imag(ewfd.neff) (1)</t>
  </si>
  <si>
    <t>lda=711.8, imag(ewfd.neff) (1)</t>
  </si>
  <si>
    <t>lda=712, imag(ewfd.neff) (1)</t>
  </si>
  <si>
    <t>lda=712.2, imag(ewfd.neff) (1)</t>
  </si>
  <si>
    <t>lda=712.4, imag(ewfd.neff) (1)</t>
  </si>
  <si>
    <t>lda=712.6, imag(ewfd.neff) (1)</t>
  </si>
  <si>
    <t>lda=712.8, imag(ewfd.neff) (1)</t>
  </si>
  <si>
    <t>lda=713, imag(ewfd.neff) (1)</t>
  </si>
  <si>
    <t>lda=713.2, imag(ewfd.neff) (1)</t>
  </si>
  <si>
    <t>lda=713.4, imag(ewfd.neff) (1)</t>
  </si>
  <si>
    <t>lda=713.6, imag(ewfd.neff) (1)</t>
  </si>
  <si>
    <t>lda=713.8, imag(ewfd.neff) (1)</t>
  </si>
  <si>
    <t>lda=714, imag(ewfd.neff) (1)</t>
  </si>
  <si>
    <t>lda=714.2, imag(ewfd.neff) (1)</t>
  </si>
  <si>
    <t>lda=714.4, imag(ewfd.neff) (1)</t>
  </si>
  <si>
    <t>lda=714.6, imag(ewfd.neff) (1)</t>
  </si>
  <si>
    <t>lda=714.8, imag(ewfd.neff) (1)</t>
  </si>
  <si>
    <t>lda=715.2, imag(ewfd.neff) (1)</t>
  </si>
  <si>
    <t>lda=715.4, imag(ewfd.neff) (1)</t>
  </si>
  <si>
    <t>lda=715.6, imag(ewfd.neff) (1)</t>
  </si>
  <si>
    <t>lda=715.8, imag(ewfd.neff) (1)</t>
  </si>
  <si>
    <t>lda=716, imag(ewfd.neff) (1)</t>
  </si>
  <si>
    <t>lda=716.2, imag(ewfd.neff) (1)</t>
  </si>
  <si>
    <t>lda=716.4, imag(ewfd.neff) (1)</t>
  </si>
  <si>
    <t>lda=716.6, imag(ewfd.neff) (1)</t>
  </si>
  <si>
    <t>lda=716.8, imag(ewfd.neff) (1)</t>
  </si>
  <si>
    <t>lda=717, imag(ewfd.neff) (1)</t>
  </si>
  <si>
    <t>lda=717.2, imag(ewfd.neff) (1)</t>
  </si>
  <si>
    <t>lda=717.4, imag(ewfd.neff) (1)</t>
  </si>
  <si>
    <t>lda=717.6, imag(ewfd.neff) (1)</t>
  </si>
  <si>
    <t>lda=717.8, imag(ewfd.neff) (1)</t>
  </si>
  <si>
    <t>lda=718, imag(ewfd.neff) (1)</t>
  </si>
  <si>
    <t>lda=718.2, imag(ewfd.neff) (1)</t>
  </si>
  <si>
    <t>lda=718.4, imag(ewfd.neff) (1)</t>
  </si>
  <si>
    <t>lda=718.6, imag(ewfd.neff) (1)</t>
  </si>
  <si>
    <t>lda=718.8, imag(ewfd.neff) (1)</t>
  </si>
  <si>
    <t>lda=719, imag(ewfd.neff) (1)</t>
  </si>
  <si>
    <t>lda=719.2, imag(ewfd.neff) (1)</t>
  </si>
  <si>
    <t>lda=719.4, imag(ewfd.neff) (1)</t>
  </si>
  <si>
    <t>lda=719.6, imag(ewfd.neff) (1)</t>
  </si>
  <si>
    <t>lda=719.8, imag(ewfd.neff) (1)</t>
  </si>
  <si>
    <t>lda=720.2, imag(ewfd.neff) (1)</t>
  </si>
  <si>
    <t>lda=720.4, imag(ewfd.neff) (1)</t>
  </si>
  <si>
    <t>lda=720.6, imag(ewfd.neff) (1)</t>
  </si>
  <si>
    <t>lda=720.8, imag(ewfd.neff) (1)</t>
  </si>
  <si>
    <t>lda=721, imag(ewfd.neff) (1)</t>
  </si>
  <si>
    <t>lda=721.2, imag(ewfd.neff) (1)</t>
  </si>
  <si>
    <t>lda=721.4, imag(ewfd.neff) (1)</t>
  </si>
  <si>
    <t>lda=721.6, imag(ewfd.neff) (1)</t>
  </si>
  <si>
    <t>lda=721.8, imag(ewfd.neff) (1)</t>
  </si>
  <si>
    <t>lda=722, imag(ewfd.neff) (1)</t>
  </si>
  <si>
    <t>lda=722.2, imag(ewfd.neff) (1)</t>
  </si>
  <si>
    <t>lda=722.4, imag(ewfd.neff) (1)</t>
  </si>
  <si>
    <t>lda=722.6, imag(ewfd.neff) (1)</t>
  </si>
  <si>
    <t>lda=722.8, imag(ewfd.neff) (1)</t>
  </si>
  <si>
    <t>lda=723, imag(ewfd.neff) (1)</t>
  </si>
  <si>
    <t>lda=723.2, imag(ewfd.neff) (1)</t>
  </si>
  <si>
    <t>lda=723.4, imag(ewfd.neff) (1)</t>
  </si>
  <si>
    <t>lda=723.6, imag(ewfd.neff) (1)</t>
  </si>
  <si>
    <t>lda=723.8, imag(ewfd.neff) (1)</t>
  </si>
  <si>
    <t>lda=724, imag(ewfd.neff) (1)</t>
  </si>
  <si>
    <t>lda=724.2, imag(ewfd.neff) (1)</t>
  </si>
  <si>
    <t>lda=724.4, imag(ewfd.neff) (1)</t>
  </si>
  <si>
    <t>lda=724.6, imag(ewfd.neff) (1)</t>
  </si>
  <si>
    <t>lda=724.8, imag(ewfd.neff) (1)</t>
  </si>
  <si>
    <t>lda=725.2, imag(ewfd.neff) (1)</t>
  </si>
  <si>
    <t>lda=725.4, imag(ewfd.neff) (1)</t>
  </si>
  <si>
    <t>lda=725.6, imag(ewfd.neff) (1)</t>
  </si>
  <si>
    <t>lda=725.8, imag(ewfd.neff) (1)</t>
  </si>
  <si>
    <t>lda=726, imag(ewfd.neff) (1)</t>
  </si>
  <si>
    <t>lda=726.2, imag(ewfd.neff) (1)</t>
  </si>
  <si>
    <t>lda=726.4, imag(ewfd.neff) (1)</t>
  </si>
  <si>
    <t>lda=726.6, imag(ewfd.neff) (1)</t>
  </si>
  <si>
    <t>lda=726.8, imag(ewfd.neff) (1)</t>
  </si>
  <si>
    <t>lda=727, imag(ewfd.neff) (1)</t>
  </si>
  <si>
    <t>lda=727.2, imag(ewfd.neff) (1)</t>
  </si>
  <si>
    <t>lda=727.4, imag(ewfd.neff) (1)</t>
  </si>
  <si>
    <t>lda=727.6, imag(ewfd.neff) (1)</t>
  </si>
  <si>
    <t>lda=727.8, imag(ewfd.neff) (1)</t>
  </si>
  <si>
    <t>lda=728, imag(ewfd.neff) (1)</t>
  </si>
  <si>
    <t>lda=728.2, imag(ewfd.neff) (1)</t>
  </si>
  <si>
    <t>lda=728.4, imag(ewfd.neff) (1)</t>
  </si>
  <si>
    <t>lda=728.6, imag(ewfd.neff) (1)</t>
  </si>
  <si>
    <t>lda=728.8, imag(ewfd.neff) (1)</t>
  </si>
  <si>
    <t>lda=729, imag(ewfd.neff) (1)</t>
  </si>
  <si>
    <t>lda=729.2, imag(ewfd.neff) (1)</t>
  </si>
  <si>
    <t>lda=729.4, imag(ewfd.neff) (1)</t>
  </si>
  <si>
    <t>lda=729.6, imag(ewfd.neff) (1)</t>
  </si>
  <si>
    <t>lda=729.8, imag(ewfd.neff) (1)</t>
  </si>
  <si>
    <t>lda=731, imag(ewfd.neff) (1)</t>
  </si>
  <si>
    <t>lda=732, imag(ewfd.neff) (1)</t>
  </si>
  <si>
    <t>lda=733, imag(ewfd.neff) (1)</t>
  </si>
  <si>
    <t>lda=734, imag(ewfd.neff) (1)</t>
  </si>
  <si>
    <t>lda=736, imag(ewfd.neff) (1)</t>
  </si>
  <si>
    <t>lda=737, imag(ewfd.neff) (1)</t>
  </si>
  <si>
    <t>lda=738, imag(ewfd.neff) (1)</t>
  </si>
  <si>
    <t>lda=739, imag(ewfd.neff) (1)</t>
  </si>
  <si>
    <t>lda=741, imag(ewfd.neff) (1)</t>
  </si>
  <si>
    <t>lda=742, imag(ewfd.neff) (1)</t>
  </si>
  <si>
    <t>lda=743, imag(ewfd.neff) (1)</t>
  </si>
  <si>
    <t>lda=744, imag(ewfd.neff) (1)</t>
  </si>
  <si>
    <t>lda=746, imag(ewfd.neff) (1)</t>
  </si>
  <si>
    <t>lda=747, imag(ewfd.neff) (1)</t>
  </si>
  <si>
    <t>lda=748, imag(ewfd.neff) (1)</t>
  </si>
  <si>
    <t>lda=749, imag(ewfd.neff) (1)</t>
  </si>
  <si>
    <t>lda=751, imag(ewfd.neff) (1)</t>
  </si>
  <si>
    <t>lda=752, imag(ewfd.neff) (1)</t>
  </si>
  <si>
    <t>lda=753, imag(ewfd.neff) (1)</t>
  </si>
  <si>
    <t>lda=754, imag(ewfd.neff) (1)</t>
  </si>
  <si>
    <t>lda=855, imag(ewfd.neff) (1)</t>
  </si>
  <si>
    <t>lda=860, imag(ewfd.neff) (1)</t>
  </si>
  <si>
    <t>lda=865, imag(ewfd.neff) (1)</t>
  </si>
  <si>
    <t>lda=870, imag(ewfd.neff) (1)</t>
  </si>
  <si>
    <t>lda=875, imag(ewfd.neff) (1)</t>
  </si>
  <si>
    <t>lda=880, imag(ewfd.neff) (1)</t>
  </si>
  <si>
    <t>lda=885, imag(ewfd.neff) (1)</t>
  </si>
  <si>
    <t>lda=890, imag(ewfd.neff) (1)</t>
  </si>
  <si>
    <t>lda=895, imag(ewfd.neff) (1)</t>
  </si>
  <si>
    <t>lda=900, imag(ewfd.neff) (1)</t>
  </si>
  <si>
    <t>index=2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</si>
</sst>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0" fillId="3" borderId="0" xfId="0" applyNumberFormat="1" applyFill="1"/>
    <xf numFmtId="0" fontId="0" fillId="3" borderId="0" xfId="0" applyFill="1"/>
    <xf numFmtId="2" fontId="0" fillId="4" borderId="0" xfId="0" applyNumberFormat="1" applyFill="1"/>
    <xf numFmtId="0" fontId="0" fillId="4" borderId="0" xfId="0" applyFill="1"/>
    <xf numFmtId="2" fontId="0" fillId="5" borderId="0" xfId="0" applyNumberFormat="1" applyFill="1"/>
    <xf numFmtId="0" fontId="0" fillId="5" borderId="0" xfId="0" applyFill="1"/>
    <xf numFmtId="2" fontId="0" fillId="6" borderId="0" xfId="0" applyNumberFormat="1" applyFill="1"/>
    <xf numFmtId="0" fontId="0" fillId="6" borderId="0" xfId="0" applyFill="1"/>
    <xf numFmtId="2" fontId="0" fillId="7" borderId="0" xfId="0" applyNumberFormat="1" applyFill="1"/>
    <xf numFmtId="0" fontId="0" fillId="7" borderId="0" xfId="0" applyFill="1"/>
    <xf numFmtId="2" fontId="0" fillId="8" borderId="0" xfId="0" applyNumberFormat="1" applyFill="1"/>
    <xf numFmtId="0" fontId="0" fillId="9" borderId="0" xfId="0" applyFill="1"/>
    <xf numFmtId="164" fontId="0" fillId="0" borderId="0" xfId="0" applyNumberFormat="1"/>
    <xf numFmtId="0" fontId="1" fillId="0" borderId="1" xfId="0" applyFont="1" applyBorder="1"/>
    <xf numFmtId="0" fontId="2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3" xfId="0" applyFont="1" applyBorder="1"/>
    <xf numFmtId="0" fontId="0" fillId="0" borderId="8" xfId="0" applyBorder="1"/>
    <xf numFmtId="0" fontId="1" fillId="0" borderId="9" xfId="0" applyFont="1" applyBorder="1"/>
    <xf numFmtId="0" fontId="2" fillId="0" borderId="7" xfId="0" applyFont="1" applyBorder="1"/>
    <xf numFmtId="0" fontId="0" fillId="0" borderId="10" xfId="0" applyBorder="1"/>
    <xf numFmtId="0" fontId="1" fillId="0" borderId="11" xfId="0" applyFont="1" applyBorder="1"/>
    <xf numFmtId="0" fontId="0" fillId="0" borderId="12" xfId="0" applyBorder="1"/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1" fillId="0" borderId="13" xfId="0" applyFont="1" applyBorder="1"/>
    <xf numFmtId="0" fontId="1" fillId="0" borderId="1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Healthy Basal Cell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'10nm'!A2:A27</c:f>
              <c:numCache>
                <c:formatCode>General</c:formatCode>
                <c:ptCount val="26"/>
                <c:pt idx="0">
                  <c:v>600</c:v>
                </c:pt>
                <c:pt idx="1">
                  <c:v>610</c:v>
                </c:pt>
                <c:pt idx="2">
                  <c:v>620</c:v>
                </c:pt>
                <c:pt idx="3">
                  <c:v>630</c:v>
                </c:pt>
                <c:pt idx="4">
                  <c:v>640</c:v>
                </c:pt>
                <c:pt idx="5">
                  <c:v>650</c:v>
                </c:pt>
                <c:pt idx="6">
                  <c:v>660</c:v>
                </c:pt>
                <c:pt idx="7">
                  <c:v>670</c:v>
                </c:pt>
                <c:pt idx="8">
                  <c:v>680</c:v>
                </c:pt>
                <c:pt idx="9">
                  <c:v>690</c:v>
                </c:pt>
                <c:pt idx="10">
                  <c:v>700</c:v>
                </c:pt>
                <c:pt idx="11">
                  <c:v>710</c:v>
                </c:pt>
                <c:pt idx="12">
                  <c:v>720</c:v>
                </c:pt>
                <c:pt idx="13">
                  <c:v>730</c:v>
                </c:pt>
                <c:pt idx="14">
                  <c:v>740</c:v>
                </c:pt>
                <c:pt idx="15">
                  <c:v>750</c:v>
                </c:pt>
                <c:pt idx="16">
                  <c:v>760</c:v>
                </c:pt>
                <c:pt idx="17">
                  <c:v>770</c:v>
                </c:pt>
                <c:pt idx="18">
                  <c:v>780</c:v>
                </c:pt>
                <c:pt idx="19">
                  <c:v>790</c:v>
                </c:pt>
                <c:pt idx="20">
                  <c:v>800</c:v>
                </c:pt>
                <c:pt idx="21">
                  <c:v>810</c:v>
                </c:pt>
                <c:pt idx="22">
                  <c:v>820</c:v>
                </c:pt>
                <c:pt idx="23">
                  <c:v>830</c:v>
                </c:pt>
                <c:pt idx="24">
                  <c:v>840</c:v>
                </c:pt>
                <c:pt idx="25">
                  <c:v>850</c:v>
                </c:pt>
              </c:numCache>
            </c:numRef>
          </c:xVal>
          <c:yVal>
            <c:numRef>
              <c:f>'10nm'!$C$2:$C$27</c:f>
              <c:numCache>
                <c:formatCode>0.00</c:formatCode>
                <c:ptCount val="26"/>
                <c:pt idx="0">
                  <c:v>3.0362378569600001</c:v>
                </c:pt>
                <c:pt idx="1">
                  <c:v>3.842052145432131</c:v>
                </c:pt>
                <c:pt idx="2">
                  <c:v>5.3244047793909672</c:v>
                </c:pt>
                <c:pt idx="3">
                  <c:v>8.0606835102933321</c:v>
                </c:pt>
                <c:pt idx="4">
                  <c:v>13.939872373350001</c:v>
                </c:pt>
                <c:pt idx="5">
                  <c:v>27.701034993821541</c:v>
                </c:pt>
                <c:pt idx="6">
                  <c:v>47.040269886400004</c:v>
                </c:pt>
                <c:pt idx="7">
                  <c:v>34.46425790614925</c:v>
                </c:pt>
                <c:pt idx="8">
                  <c:v>19.607185751999999</c:v>
                </c:pt>
                <c:pt idx="9">
                  <c:v>12.108725701982609</c:v>
                </c:pt>
                <c:pt idx="10">
                  <c:v>8.3267192447999996</c:v>
                </c:pt>
                <c:pt idx="11">
                  <c:v>6.3862229401284507</c:v>
                </c:pt>
                <c:pt idx="12">
                  <c:v>5.2951484914533333</c:v>
                </c:pt>
                <c:pt idx="13">
                  <c:v>4.5860930306761638</c:v>
                </c:pt>
                <c:pt idx="14">
                  <c:v>4.0968781991351353</c:v>
                </c:pt>
                <c:pt idx="15">
                  <c:v>3.7572215522688004</c:v>
                </c:pt>
                <c:pt idx="16">
                  <c:v>3.5177023980884217</c:v>
                </c:pt>
                <c:pt idx="17">
                  <c:v>3.3800186188799999</c:v>
                </c:pt>
                <c:pt idx="18">
                  <c:v>3.2653165946584615</c:v>
                </c:pt>
                <c:pt idx="19">
                  <c:v>3.1955211180394936</c:v>
                </c:pt>
                <c:pt idx="20">
                  <c:v>3.1606253725200006</c:v>
                </c:pt>
                <c:pt idx="21">
                  <c:v>3.1178995368888893</c:v>
                </c:pt>
                <c:pt idx="22">
                  <c:v>3.1092275437112198</c:v>
                </c:pt>
                <c:pt idx="23">
                  <c:v>3.10983857540241</c:v>
                </c:pt>
                <c:pt idx="24">
                  <c:v>3.0832120923999997</c:v>
                </c:pt>
                <c:pt idx="25">
                  <c:v>3.062605495488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E7A-4243-BB25-F7A8862DD86E}"/>
            </c:ext>
          </c:extLst>
        </c:ser>
        <c:ser>
          <c:idx val="1"/>
          <c:order val="1"/>
          <c:tx>
            <c:v>Healthy HeLa Cell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'10nm'!A2:A28</c:f>
              <c:numCache>
                <c:formatCode>General</c:formatCode>
                <c:ptCount val="27"/>
                <c:pt idx="0">
                  <c:v>600</c:v>
                </c:pt>
                <c:pt idx="1">
                  <c:v>610</c:v>
                </c:pt>
                <c:pt idx="2">
                  <c:v>620</c:v>
                </c:pt>
                <c:pt idx="3">
                  <c:v>630</c:v>
                </c:pt>
                <c:pt idx="4">
                  <c:v>640</c:v>
                </c:pt>
                <c:pt idx="5">
                  <c:v>650</c:v>
                </c:pt>
                <c:pt idx="6">
                  <c:v>660</c:v>
                </c:pt>
                <c:pt idx="7">
                  <c:v>670</c:v>
                </c:pt>
                <c:pt idx="8">
                  <c:v>680</c:v>
                </c:pt>
                <c:pt idx="9">
                  <c:v>690</c:v>
                </c:pt>
                <c:pt idx="10">
                  <c:v>700</c:v>
                </c:pt>
                <c:pt idx="11">
                  <c:v>710</c:v>
                </c:pt>
                <c:pt idx="12">
                  <c:v>720</c:v>
                </c:pt>
                <c:pt idx="13">
                  <c:v>730</c:v>
                </c:pt>
                <c:pt idx="14">
                  <c:v>740</c:v>
                </c:pt>
                <c:pt idx="15">
                  <c:v>750</c:v>
                </c:pt>
                <c:pt idx="16">
                  <c:v>760</c:v>
                </c:pt>
                <c:pt idx="17">
                  <c:v>770</c:v>
                </c:pt>
                <c:pt idx="18">
                  <c:v>780</c:v>
                </c:pt>
                <c:pt idx="19">
                  <c:v>790</c:v>
                </c:pt>
                <c:pt idx="20">
                  <c:v>800</c:v>
                </c:pt>
                <c:pt idx="21">
                  <c:v>810</c:v>
                </c:pt>
                <c:pt idx="22">
                  <c:v>820</c:v>
                </c:pt>
                <c:pt idx="23">
                  <c:v>830</c:v>
                </c:pt>
                <c:pt idx="24">
                  <c:v>840</c:v>
                </c:pt>
                <c:pt idx="25">
                  <c:v>850</c:v>
                </c:pt>
              </c:numCache>
            </c:numRef>
          </c:xVal>
          <c:yVal>
            <c:numRef>
              <c:f>'10nm'!G2:G28</c:f>
              <c:numCache>
                <c:formatCode>0.00</c:formatCode>
                <c:ptCount val="27"/>
                <c:pt idx="0">
                  <c:v>2.2196008443840003</c:v>
                </c:pt>
                <c:pt idx="1">
                  <c:v>2.5104007905521315</c:v>
                </c:pt>
                <c:pt idx="2">
                  <c:v>3.0049300833909673</c:v>
                </c:pt>
                <c:pt idx="3">
                  <c:v>3.8234298854400004</c:v>
                </c:pt>
                <c:pt idx="4">
                  <c:v>5.272114819125</c:v>
                </c:pt>
                <c:pt idx="5">
                  <c:v>8.1197147493710773</c:v>
                </c:pt>
                <c:pt idx="6">
                  <c:v>14.651141769600001</c:v>
                </c:pt>
                <c:pt idx="7">
                  <c:v>30.097373324847762</c:v>
                </c:pt>
                <c:pt idx="8">
                  <c:v>54.010854374400004</c:v>
                </c:pt>
                <c:pt idx="9">
                  <c:v>44.767245803547823</c:v>
                </c:pt>
                <c:pt idx="10">
                  <c:v>24.90764978592</c:v>
                </c:pt>
                <c:pt idx="11">
                  <c:v>15.212064369126763</c:v>
                </c:pt>
                <c:pt idx="12">
                  <c:v>10.631683688266666</c:v>
                </c:pt>
                <c:pt idx="13">
                  <c:v>8.1146102660383566</c:v>
                </c:pt>
                <c:pt idx="14">
                  <c:v>6.5870868830918923</c:v>
                </c:pt>
                <c:pt idx="15">
                  <c:v>5.6142566657408004</c:v>
                </c:pt>
                <c:pt idx="16">
                  <c:v>4.9626705043705268</c:v>
                </c:pt>
                <c:pt idx="17">
                  <c:v>4.5553136351999992</c:v>
                </c:pt>
                <c:pt idx="18">
                  <c:v>4.2453733689230768</c:v>
                </c:pt>
                <c:pt idx="19">
                  <c:v>4.0256270881701273</c:v>
                </c:pt>
                <c:pt idx="20">
                  <c:v>3.8839603784520005</c:v>
                </c:pt>
                <c:pt idx="21">
                  <c:v>3.7532705284148151</c:v>
                </c:pt>
                <c:pt idx="22">
                  <c:v>3.670693498817561</c:v>
                </c:pt>
                <c:pt idx="23">
                  <c:v>3.6149613143016865</c:v>
                </c:pt>
                <c:pt idx="24">
                  <c:v>3.54476806552</c:v>
                </c:pt>
                <c:pt idx="25">
                  <c:v>3.4777673884799998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11-44E4-A709-71D1686A921C}"/>
            </c:ext>
          </c:extLst>
        </c:ser>
        <c:ser>
          <c:idx val="2"/>
          <c:order val="2"/>
          <c:tx>
            <c:strRef>
              <c:f>{"Healthy PC12 Cell"}</c:f>
              <c:strCache>
                <c:ptCount val="1"/>
                <c:pt idx="0">
                  <c:v>Healthy PC12 Cell</c:v>
                </c:pt>
              </c:strCache>
            </c:strRef>
          </c:tx>
          <c:spPr>
            <a:ln w="19050" cap="rnd">
              <a:solidFill>
                <a:srgbClr val="44546A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'10nm'!A2:A28</c:f>
              <c:numCache>
                <c:formatCode>General</c:formatCode>
                <c:ptCount val="27"/>
                <c:pt idx="0">
                  <c:v>600</c:v>
                </c:pt>
                <c:pt idx="1">
                  <c:v>610</c:v>
                </c:pt>
                <c:pt idx="2">
                  <c:v>620</c:v>
                </c:pt>
                <c:pt idx="3">
                  <c:v>630</c:v>
                </c:pt>
                <c:pt idx="4">
                  <c:v>640</c:v>
                </c:pt>
                <c:pt idx="5">
                  <c:v>650</c:v>
                </c:pt>
                <c:pt idx="6">
                  <c:v>660</c:v>
                </c:pt>
                <c:pt idx="7">
                  <c:v>670</c:v>
                </c:pt>
                <c:pt idx="8">
                  <c:v>680</c:v>
                </c:pt>
                <c:pt idx="9">
                  <c:v>690</c:v>
                </c:pt>
                <c:pt idx="10">
                  <c:v>700</c:v>
                </c:pt>
                <c:pt idx="11">
                  <c:v>710</c:v>
                </c:pt>
                <c:pt idx="12">
                  <c:v>720</c:v>
                </c:pt>
                <c:pt idx="13">
                  <c:v>730</c:v>
                </c:pt>
                <c:pt idx="14">
                  <c:v>740</c:v>
                </c:pt>
                <c:pt idx="15">
                  <c:v>750</c:v>
                </c:pt>
                <c:pt idx="16">
                  <c:v>760</c:v>
                </c:pt>
                <c:pt idx="17">
                  <c:v>770</c:v>
                </c:pt>
                <c:pt idx="18">
                  <c:v>780</c:v>
                </c:pt>
                <c:pt idx="19">
                  <c:v>790</c:v>
                </c:pt>
                <c:pt idx="20">
                  <c:v>800</c:v>
                </c:pt>
                <c:pt idx="21">
                  <c:v>810</c:v>
                </c:pt>
                <c:pt idx="22">
                  <c:v>820</c:v>
                </c:pt>
                <c:pt idx="23">
                  <c:v>830</c:v>
                </c:pt>
                <c:pt idx="24">
                  <c:v>840</c:v>
                </c:pt>
                <c:pt idx="25">
                  <c:v>850</c:v>
                </c:pt>
              </c:numCache>
            </c:numRef>
          </c:xVal>
          <c:yVal>
            <c:numRef>
              <c:f>'10nm'!K2:K28</c:f>
              <c:numCache>
                <c:formatCode>0.00</c:formatCode>
                <c:ptCount val="27"/>
                <c:pt idx="0">
                  <c:v>1.583700938512</c:v>
                </c:pt>
                <c:pt idx="1">
                  <c:v>1.600325704430164</c:v>
                </c:pt>
                <c:pt idx="2">
                  <c:v>1.6553215050580645</c:v>
                </c:pt>
                <c:pt idx="3">
                  <c:v>1.7713769779199999</c:v>
                </c:pt>
                <c:pt idx="4">
                  <c:v>1.945374126465</c:v>
                </c:pt>
                <c:pt idx="5">
                  <c:v>2.2097352054055386</c:v>
                </c:pt>
                <c:pt idx="6">
                  <c:v>2.6311360196800004</c:v>
                </c:pt>
                <c:pt idx="7">
                  <c:v>3.5398564306961191</c:v>
                </c:pt>
                <c:pt idx="8">
                  <c:v>5.0972262264000001</c:v>
                </c:pt>
                <c:pt idx="9">
                  <c:v>7.9933883300173907</c:v>
                </c:pt>
                <c:pt idx="10">
                  <c:v>14.033016824640001</c:v>
                </c:pt>
                <c:pt idx="11">
                  <c:v>27.775277105307044</c:v>
                </c:pt>
                <c:pt idx="12">
                  <c:v>56.243471386666663</c:v>
                </c:pt>
                <c:pt idx="13">
                  <c:v>72.173978300449306</c:v>
                </c:pt>
                <c:pt idx="14">
                  <c:v>46.517820977902709</c:v>
                </c:pt>
                <c:pt idx="15">
                  <c:v>27.699075859840004</c:v>
                </c:pt>
                <c:pt idx="16">
                  <c:v>18.308051818736843</c:v>
                </c:pt>
                <c:pt idx="17">
                  <c:v>13.4476374048</c:v>
                </c:pt>
                <c:pt idx="18">
                  <c:v>10.598215149415386</c:v>
                </c:pt>
                <c:pt idx="19">
                  <c:v>8.7853342394734177</c:v>
                </c:pt>
                <c:pt idx="20">
                  <c:v>7.6201565748000002</c:v>
                </c:pt>
                <c:pt idx="21">
                  <c:v>6.7781889445925936</c:v>
                </c:pt>
                <c:pt idx="22">
                  <c:v>6.1678060129990238</c:v>
                </c:pt>
                <c:pt idx="23">
                  <c:v>5.7256010950785541</c:v>
                </c:pt>
                <c:pt idx="24">
                  <c:v>5.3740994252000007</c:v>
                </c:pt>
                <c:pt idx="25">
                  <c:v>5.0596330794239996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AC-4E4B-8C74-87828E1BC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656904"/>
        <c:axId val="1118675975"/>
      </c:scatterChart>
      <c:valAx>
        <c:axId val="1864656904"/>
        <c:scaling>
          <c:orientation val="minMax"/>
          <c:max val="850"/>
          <c:min val="6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Wavelength(nm)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18675975"/>
        <c:crosses val="autoZero"/>
        <c:crossBetween val="midCat"/>
      </c:valAx>
      <c:valAx>
        <c:axId val="1118675975"/>
        <c:scaling>
          <c:orientation val="minMax"/>
          <c:max val="8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Confinement Loss(db/cm)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64656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Cancerous Basal Cell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'10nm'!A2:A27</c:f>
              <c:numCache>
                <c:formatCode>General</c:formatCode>
                <c:ptCount val="26"/>
                <c:pt idx="0">
                  <c:v>600</c:v>
                </c:pt>
                <c:pt idx="1">
                  <c:v>610</c:v>
                </c:pt>
                <c:pt idx="2">
                  <c:v>620</c:v>
                </c:pt>
                <c:pt idx="3">
                  <c:v>630</c:v>
                </c:pt>
                <c:pt idx="4">
                  <c:v>640</c:v>
                </c:pt>
                <c:pt idx="5">
                  <c:v>650</c:v>
                </c:pt>
                <c:pt idx="6">
                  <c:v>660</c:v>
                </c:pt>
                <c:pt idx="7">
                  <c:v>670</c:v>
                </c:pt>
                <c:pt idx="8">
                  <c:v>680</c:v>
                </c:pt>
                <c:pt idx="9">
                  <c:v>690</c:v>
                </c:pt>
                <c:pt idx="10">
                  <c:v>700</c:v>
                </c:pt>
                <c:pt idx="11">
                  <c:v>710</c:v>
                </c:pt>
                <c:pt idx="12">
                  <c:v>720</c:v>
                </c:pt>
                <c:pt idx="13">
                  <c:v>730</c:v>
                </c:pt>
                <c:pt idx="14">
                  <c:v>740</c:v>
                </c:pt>
                <c:pt idx="15">
                  <c:v>750</c:v>
                </c:pt>
                <c:pt idx="16">
                  <c:v>760</c:v>
                </c:pt>
                <c:pt idx="17">
                  <c:v>770</c:v>
                </c:pt>
                <c:pt idx="18">
                  <c:v>780</c:v>
                </c:pt>
                <c:pt idx="19">
                  <c:v>790</c:v>
                </c:pt>
                <c:pt idx="20">
                  <c:v>800</c:v>
                </c:pt>
                <c:pt idx="21">
                  <c:v>810</c:v>
                </c:pt>
                <c:pt idx="22">
                  <c:v>820</c:v>
                </c:pt>
                <c:pt idx="23">
                  <c:v>830</c:v>
                </c:pt>
                <c:pt idx="24">
                  <c:v>840</c:v>
                </c:pt>
                <c:pt idx="25">
                  <c:v>850</c:v>
                </c:pt>
              </c:numCache>
            </c:numRef>
          </c:xVal>
          <c:yVal>
            <c:numRef>
              <c:f>'10nm'!E2:E28</c:f>
              <c:numCache>
                <c:formatCode>0.00</c:formatCode>
                <c:ptCount val="27"/>
                <c:pt idx="0">
                  <c:v>1.6154459059200001</c:v>
                </c:pt>
                <c:pt idx="1">
                  <c:v>1.6425549062242624</c:v>
                </c:pt>
                <c:pt idx="2">
                  <c:v>1.7124501228077418</c:v>
                </c:pt>
                <c:pt idx="3">
                  <c:v>1.8497756557866667</c:v>
                </c:pt>
                <c:pt idx="4">
                  <c:v>2.0564019225750001</c:v>
                </c:pt>
                <c:pt idx="5">
                  <c:v>2.3724552763864617</c:v>
                </c:pt>
                <c:pt idx="6">
                  <c:v>2.8836734785600004</c:v>
                </c:pt>
                <c:pt idx="7">
                  <c:v>3.9702727360047754</c:v>
                </c:pt>
                <c:pt idx="8">
                  <c:v>5.8901815896</c:v>
                </c:pt>
                <c:pt idx="9">
                  <c:v>9.6053540351999995</c:v>
                </c:pt>
                <c:pt idx="10">
                  <c:v>17.729362886400001</c:v>
                </c:pt>
                <c:pt idx="11">
                  <c:v>36.566605058298599</c:v>
                </c:pt>
                <c:pt idx="12">
                  <c:v>67.633911339866671</c:v>
                </c:pt>
                <c:pt idx="13">
                  <c:v>61.783628800043829</c:v>
                </c:pt>
                <c:pt idx="14">
                  <c:v>36.455947121772972</c:v>
                </c:pt>
                <c:pt idx="15">
                  <c:v>22.472890050688004</c:v>
                </c:pt>
                <c:pt idx="16">
                  <c:v>15.468670101094739</c:v>
                </c:pt>
                <c:pt idx="17">
                  <c:v>11.733104390399999</c:v>
                </c:pt>
                <c:pt idx="18">
                  <c:v>9.4710134193230768</c:v>
                </c:pt>
                <c:pt idx="19">
                  <c:v>7.997092801458229</c:v>
                </c:pt>
                <c:pt idx="20">
                  <c:v>7.0368769086000009</c:v>
                </c:pt>
                <c:pt idx="21">
                  <c:v>6.3280390406281493</c:v>
                </c:pt>
                <c:pt idx="22">
                  <c:v>5.8113989255648777</c:v>
                </c:pt>
                <c:pt idx="23">
                  <c:v>5.4350996292549389</c:v>
                </c:pt>
                <c:pt idx="24">
                  <c:v>5.1301972400800011</c:v>
                </c:pt>
                <c:pt idx="25">
                  <c:v>4.8539783402880001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ED-4D18-8134-A56284AEA0A2}"/>
            </c:ext>
          </c:extLst>
        </c:ser>
        <c:ser>
          <c:idx val="1"/>
          <c:order val="1"/>
          <c:tx>
            <c:v>Cancerous HeLa Cell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'10nm'!A2:A28</c:f>
              <c:numCache>
                <c:formatCode>General</c:formatCode>
                <c:ptCount val="27"/>
                <c:pt idx="0">
                  <c:v>600</c:v>
                </c:pt>
                <c:pt idx="1">
                  <c:v>610</c:v>
                </c:pt>
                <c:pt idx="2">
                  <c:v>620</c:v>
                </c:pt>
                <c:pt idx="3">
                  <c:v>630</c:v>
                </c:pt>
                <c:pt idx="4">
                  <c:v>640</c:v>
                </c:pt>
                <c:pt idx="5">
                  <c:v>650</c:v>
                </c:pt>
                <c:pt idx="6">
                  <c:v>660</c:v>
                </c:pt>
                <c:pt idx="7">
                  <c:v>670</c:v>
                </c:pt>
                <c:pt idx="8">
                  <c:v>680</c:v>
                </c:pt>
                <c:pt idx="9">
                  <c:v>690</c:v>
                </c:pt>
                <c:pt idx="10">
                  <c:v>700</c:v>
                </c:pt>
                <c:pt idx="11">
                  <c:v>710</c:v>
                </c:pt>
                <c:pt idx="12">
                  <c:v>720</c:v>
                </c:pt>
                <c:pt idx="13">
                  <c:v>730</c:v>
                </c:pt>
                <c:pt idx="14">
                  <c:v>740</c:v>
                </c:pt>
                <c:pt idx="15">
                  <c:v>750</c:v>
                </c:pt>
                <c:pt idx="16">
                  <c:v>760</c:v>
                </c:pt>
                <c:pt idx="17">
                  <c:v>770</c:v>
                </c:pt>
                <c:pt idx="18">
                  <c:v>780</c:v>
                </c:pt>
                <c:pt idx="19">
                  <c:v>790</c:v>
                </c:pt>
                <c:pt idx="20">
                  <c:v>800</c:v>
                </c:pt>
                <c:pt idx="21">
                  <c:v>810</c:v>
                </c:pt>
                <c:pt idx="22">
                  <c:v>820</c:v>
                </c:pt>
                <c:pt idx="23">
                  <c:v>830</c:v>
                </c:pt>
                <c:pt idx="24">
                  <c:v>840</c:v>
                </c:pt>
                <c:pt idx="25">
                  <c:v>850</c:v>
                </c:pt>
              </c:numCache>
            </c:numRef>
          </c:xVal>
          <c:yVal>
            <c:numRef>
              <c:f>'10nm'!I2:I28</c:f>
              <c:numCache>
                <c:formatCode>0.00</c:formatCode>
                <c:ptCount val="27"/>
                <c:pt idx="0">
                  <c:v>1.33983773616</c:v>
                </c:pt>
                <c:pt idx="1">
                  <c:v>1.2900484336209836</c:v>
                </c:pt>
                <c:pt idx="2">
                  <c:v>1.2546289503638708</c:v>
                </c:pt>
                <c:pt idx="3">
                  <c:v>1.2488346299733335</c:v>
                </c:pt>
                <c:pt idx="4">
                  <c:v>1.24961699247</c:v>
                </c:pt>
                <c:pt idx="5">
                  <c:v>1.2608706428898462</c:v>
                </c:pt>
                <c:pt idx="6">
                  <c:v>1.2883214176</c:v>
                </c:pt>
                <c:pt idx="7">
                  <c:v>1.4625519988298508</c:v>
                </c:pt>
                <c:pt idx="8">
                  <c:v>1.6950624767999998</c:v>
                </c:pt>
                <c:pt idx="9">
                  <c:v>2.0325954215791304</c:v>
                </c:pt>
                <c:pt idx="10">
                  <c:v>2.5115817767040003</c:v>
                </c:pt>
                <c:pt idx="11">
                  <c:v>3.2828541944247891</c:v>
                </c:pt>
                <c:pt idx="12">
                  <c:v>4.5246432533866665</c:v>
                </c:pt>
                <c:pt idx="13">
                  <c:v>6.5796077049336992</c:v>
                </c:pt>
                <c:pt idx="14">
                  <c:v>10.265427120389189</c:v>
                </c:pt>
                <c:pt idx="15">
                  <c:v>17.364588131967999</c:v>
                </c:pt>
                <c:pt idx="16">
                  <c:v>32.059018058273686</c:v>
                </c:pt>
                <c:pt idx="17">
                  <c:v>61.100173008000006</c:v>
                </c:pt>
                <c:pt idx="18">
                  <c:v>90.428027062153845</c:v>
                </c:pt>
                <c:pt idx="19">
                  <c:v>69.995287028658225</c:v>
                </c:pt>
                <c:pt idx="20">
                  <c:v>44.043413484839995</c:v>
                </c:pt>
                <c:pt idx="21">
                  <c:v>29.363842186311118</c:v>
                </c:pt>
                <c:pt idx="22">
                  <c:v>21.140164926556096</c:v>
                </c:pt>
                <c:pt idx="23">
                  <c:v>16.324762091450605</c:v>
                </c:pt>
                <c:pt idx="24">
                  <c:v>13.305468431200001</c:v>
                </c:pt>
                <c:pt idx="25">
                  <c:v>11.17778131008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ED-4D18-8134-A56284AEA0A2}"/>
            </c:ext>
          </c:extLst>
        </c:ser>
        <c:ser>
          <c:idx val="2"/>
          <c:order val="2"/>
          <c:tx>
            <c:v>Cancerous PC12 Cell</c:v>
          </c:tx>
          <c:spPr>
            <a:ln w="19050" cap="rnd">
              <a:solidFill>
                <a:srgbClr val="44546A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'10nm'!A2:A28</c:f>
              <c:numCache>
                <c:formatCode>General</c:formatCode>
                <c:ptCount val="27"/>
                <c:pt idx="0">
                  <c:v>600</c:v>
                </c:pt>
                <c:pt idx="1">
                  <c:v>610</c:v>
                </c:pt>
                <c:pt idx="2">
                  <c:v>620</c:v>
                </c:pt>
                <c:pt idx="3">
                  <c:v>630</c:v>
                </c:pt>
                <c:pt idx="4">
                  <c:v>640</c:v>
                </c:pt>
                <c:pt idx="5">
                  <c:v>650</c:v>
                </c:pt>
                <c:pt idx="6">
                  <c:v>660</c:v>
                </c:pt>
                <c:pt idx="7">
                  <c:v>670</c:v>
                </c:pt>
                <c:pt idx="8">
                  <c:v>680</c:v>
                </c:pt>
                <c:pt idx="9">
                  <c:v>690</c:v>
                </c:pt>
                <c:pt idx="10">
                  <c:v>700</c:v>
                </c:pt>
                <c:pt idx="11">
                  <c:v>710</c:v>
                </c:pt>
                <c:pt idx="12">
                  <c:v>720</c:v>
                </c:pt>
                <c:pt idx="13">
                  <c:v>730</c:v>
                </c:pt>
                <c:pt idx="14">
                  <c:v>740</c:v>
                </c:pt>
                <c:pt idx="15">
                  <c:v>750</c:v>
                </c:pt>
                <c:pt idx="16">
                  <c:v>760</c:v>
                </c:pt>
                <c:pt idx="17">
                  <c:v>770</c:v>
                </c:pt>
                <c:pt idx="18">
                  <c:v>780</c:v>
                </c:pt>
                <c:pt idx="19">
                  <c:v>790</c:v>
                </c:pt>
                <c:pt idx="20">
                  <c:v>800</c:v>
                </c:pt>
                <c:pt idx="21">
                  <c:v>810</c:v>
                </c:pt>
                <c:pt idx="22">
                  <c:v>820</c:v>
                </c:pt>
                <c:pt idx="23">
                  <c:v>830</c:v>
                </c:pt>
                <c:pt idx="24">
                  <c:v>840</c:v>
                </c:pt>
                <c:pt idx="25">
                  <c:v>850</c:v>
                </c:pt>
              </c:numCache>
            </c:numRef>
          </c:xVal>
          <c:yVal>
            <c:numRef>
              <c:f>'10nm'!M2:M28</c:f>
              <c:numCache>
                <c:formatCode>0.00</c:formatCode>
                <c:ptCount val="27"/>
                <c:pt idx="0">
                  <c:v>1.297177593712</c:v>
                </c:pt>
                <c:pt idx="1">
                  <c:v>1.2386934297442624</c:v>
                </c:pt>
                <c:pt idx="2">
                  <c:v>1.1923948475148385</c:v>
                </c:pt>
                <c:pt idx="3">
                  <c:v>1.1724284046933333</c:v>
                </c:pt>
                <c:pt idx="4">
                  <c:v>1.1553030581400001</c:v>
                </c:pt>
                <c:pt idx="5">
                  <c:v>1.1436584555372309</c:v>
                </c:pt>
                <c:pt idx="6">
                  <c:v>1.1397261937600001</c:v>
                </c:pt>
                <c:pt idx="7">
                  <c:v>1.2588292169265671</c:v>
                </c:pt>
                <c:pt idx="8">
                  <c:v>1.4123112880799999</c:v>
                </c:pt>
                <c:pt idx="9">
                  <c:v>1.6186888202434782</c:v>
                </c:pt>
                <c:pt idx="10">
                  <c:v>1.912182735936</c:v>
                </c:pt>
                <c:pt idx="11">
                  <c:v>2.340843841500845</c:v>
                </c:pt>
                <c:pt idx="12">
                  <c:v>3.0113755138133333</c:v>
                </c:pt>
                <c:pt idx="13">
                  <c:v>4.018802974487671</c:v>
                </c:pt>
                <c:pt idx="14">
                  <c:v>5.6075974256172971</c:v>
                </c:pt>
                <c:pt idx="15">
                  <c:v>8.307903562112001</c:v>
                </c:pt>
                <c:pt idx="16">
                  <c:v>13.148477301473685</c:v>
                </c:pt>
                <c:pt idx="17">
                  <c:v>22.403751158399999</c:v>
                </c:pt>
                <c:pt idx="18">
                  <c:v>41.05505196455384</c:v>
                </c:pt>
                <c:pt idx="19">
                  <c:v>75.0107408761519</c:v>
                </c:pt>
                <c:pt idx="20">
                  <c:v>95.221258255199999</c:v>
                </c:pt>
                <c:pt idx="21">
                  <c:v>68.105302039703716</c:v>
                </c:pt>
                <c:pt idx="22">
                  <c:v>43.69464369213658</c:v>
                </c:pt>
                <c:pt idx="23">
                  <c:v>29.952292374824097</c:v>
                </c:pt>
                <c:pt idx="24">
                  <c:v>22.135715095999998</c:v>
                </c:pt>
                <c:pt idx="25">
                  <c:v>17.226072420480001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ED-4D18-8134-A56284AEA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656904"/>
        <c:axId val="1118675975"/>
      </c:scatterChart>
      <c:valAx>
        <c:axId val="1864656904"/>
        <c:scaling>
          <c:orientation val="minMax"/>
          <c:max val="850"/>
          <c:min val="6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Wavelength(nm)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18675975"/>
        <c:crosses val="autoZero"/>
        <c:crossBetween val="midCat"/>
      </c:valAx>
      <c:valAx>
        <c:axId val="1118675975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Confinement Loss(db/cm)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64656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4570992357790258"/>
          <c:y val="4.6874635257199447E-2"/>
          <c:w val="0.28863582443653618"/>
          <c:h val="0.21473636997906906"/>
        </c:manualLayout>
      </c:layout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Healthy Basal Cell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'10nm'!A2:A27</c:f>
              <c:numCache>
                <c:formatCode>General</c:formatCode>
                <c:ptCount val="26"/>
                <c:pt idx="0">
                  <c:v>600</c:v>
                </c:pt>
                <c:pt idx="1">
                  <c:v>610</c:v>
                </c:pt>
                <c:pt idx="2">
                  <c:v>620</c:v>
                </c:pt>
                <c:pt idx="3">
                  <c:v>630</c:v>
                </c:pt>
                <c:pt idx="4">
                  <c:v>640</c:v>
                </c:pt>
                <c:pt idx="5">
                  <c:v>650</c:v>
                </c:pt>
                <c:pt idx="6">
                  <c:v>660</c:v>
                </c:pt>
                <c:pt idx="7">
                  <c:v>670</c:v>
                </c:pt>
                <c:pt idx="8">
                  <c:v>680</c:v>
                </c:pt>
                <c:pt idx="9">
                  <c:v>690</c:v>
                </c:pt>
                <c:pt idx="10">
                  <c:v>700</c:v>
                </c:pt>
                <c:pt idx="11">
                  <c:v>710</c:v>
                </c:pt>
                <c:pt idx="12">
                  <c:v>720</c:v>
                </c:pt>
                <c:pt idx="13">
                  <c:v>730</c:v>
                </c:pt>
                <c:pt idx="14">
                  <c:v>740</c:v>
                </c:pt>
                <c:pt idx="15">
                  <c:v>750</c:v>
                </c:pt>
                <c:pt idx="16">
                  <c:v>760</c:v>
                </c:pt>
                <c:pt idx="17">
                  <c:v>770</c:v>
                </c:pt>
                <c:pt idx="18">
                  <c:v>780</c:v>
                </c:pt>
                <c:pt idx="19">
                  <c:v>790</c:v>
                </c:pt>
                <c:pt idx="20">
                  <c:v>800</c:v>
                </c:pt>
                <c:pt idx="21">
                  <c:v>810</c:v>
                </c:pt>
                <c:pt idx="22">
                  <c:v>820</c:v>
                </c:pt>
                <c:pt idx="23">
                  <c:v>830</c:v>
                </c:pt>
                <c:pt idx="24">
                  <c:v>840</c:v>
                </c:pt>
                <c:pt idx="25">
                  <c:v>850</c:v>
                </c:pt>
              </c:numCache>
            </c:numRef>
          </c:xVal>
          <c:yVal>
            <c:numRef>
              <c:f>'10nm'!$C$2:$C$27</c:f>
              <c:numCache>
                <c:formatCode>0.00</c:formatCode>
                <c:ptCount val="26"/>
                <c:pt idx="0">
                  <c:v>3.0362378569600001</c:v>
                </c:pt>
                <c:pt idx="1">
                  <c:v>3.842052145432131</c:v>
                </c:pt>
                <c:pt idx="2">
                  <c:v>5.3244047793909672</c:v>
                </c:pt>
                <c:pt idx="3">
                  <c:v>8.0606835102933321</c:v>
                </c:pt>
                <c:pt idx="4">
                  <c:v>13.939872373350001</c:v>
                </c:pt>
                <c:pt idx="5">
                  <c:v>27.701034993821541</c:v>
                </c:pt>
                <c:pt idx="6">
                  <c:v>47.040269886400004</c:v>
                </c:pt>
                <c:pt idx="7">
                  <c:v>34.46425790614925</c:v>
                </c:pt>
                <c:pt idx="8">
                  <c:v>19.607185751999999</c:v>
                </c:pt>
                <c:pt idx="9">
                  <c:v>12.108725701982609</c:v>
                </c:pt>
                <c:pt idx="10">
                  <c:v>8.3267192447999996</c:v>
                </c:pt>
                <c:pt idx="11">
                  <c:v>6.3862229401284507</c:v>
                </c:pt>
                <c:pt idx="12">
                  <c:v>5.2951484914533333</c:v>
                </c:pt>
                <c:pt idx="13">
                  <c:v>4.5860930306761638</c:v>
                </c:pt>
                <c:pt idx="14">
                  <c:v>4.0968781991351353</c:v>
                </c:pt>
                <c:pt idx="15">
                  <c:v>3.7572215522688004</c:v>
                </c:pt>
                <c:pt idx="16">
                  <c:v>3.5177023980884217</c:v>
                </c:pt>
                <c:pt idx="17">
                  <c:v>3.3800186188799999</c:v>
                </c:pt>
                <c:pt idx="18">
                  <c:v>3.2653165946584615</c:v>
                </c:pt>
                <c:pt idx="19">
                  <c:v>3.1955211180394936</c:v>
                </c:pt>
                <c:pt idx="20">
                  <c:v>3.1606253725200006</c:v>
                </c:pt>
                <c:pt idx="21">
                  <c:v>3.1178995368888893</c:v>
                </c:pt>
                <c:pt idx="22">
                  <c:v>3.1092275437112198</c:v>
                </c:pt>
                <c:pt idx="23">
                  <c:v>3.10983857540241</c:v>
                </c:pt>
                <c:pt idx="24">
                  <c:v>3.0832120923999997</c:v>
                </c:pt>
                <c:pt idx="25">
                  <c:v>3.062605495488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89-425F-AF53-2A3797510C3A}"/>
            </c:ext>
          </c:extLst>
        </c:ser>
        <c:ser>
          <c:idx val="1"/>
          <c:order val="1"/>
          <c:tx>
            <c:v>Real(X)</c:v>
          </c:tx>
          <c:spPr>
            <a:ln w="19050" cap="rnd">
              <a:solidFill>
                <a:srgbClr val="44546A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'10nm'!A2:A28</c:f>
              <c:numCache>
                <c:formatCode>General</c:formatCode>
                <c:ptCount val="27"/>
                <c:pt idx="0">
                  <c:v>600</c:v>
                </c:pt>
                <c:pt idx="1">
                  <c:v>610</c:v>
                </c:pt>
                <c:pt idx="2">
                  <c:v>620</c:v>
                </c:pt>
                <c:pt idx="3">
                  <c:v>630</c:v>
                </c:pt>
                <c:pt idx="4">
                  <c:v>640</c:v>
                </c:pt>
                <c:pt idx="5">
                  <c:v>650</c:v>
                </c:pt>
                <c:pt idx="6">
                  <c:v>660</c:v>
                </c:pt>
                <c:pt idx="7">
                  <c:v>670</c:v>
                </c:pt>
                <c:pt idx="8">
                  <c:v>680</c:v>
                </c:pt>
                <c:pt idx="9">
                  <c:v>690</c:v>
                </c:pt>
                <c:pt idx="10">
                  <c:v>700</c:v>
                </c:pt>
                <c:pt idx="11">
                  <c:v>710</c:v>
                </c:pt>
                <c:pt idx="12">
                  <c:v>720</c:v>
                </c:pt>
                <c:pt idx="13">
                  <c:v>730</c:v>
                </c:pt>
                <c:pt idx="14">
                  <c:v>740</c:v>
                </c:pt>
                <c:pt idx="15">
                  <c:v>750</c:v>
                </c:pt>
                <c:pt idx="16">
                  <c:v>760</c:v>
                </c:pt>
                <c:pt idx="17">
                  <c:v>770</c:v>
                </c:pt>
                <c:pt idx="18">
                  <c:v>780</c:v>
                </c:pt>
                <c:pt idx="19">
                  <c:v>790</c:v>
                </c:pt>
                <c:pt idx="20">
                  <c:v>800</c:v>
                </c:pt>
                <c:pt idx="21">
                  <c:v>810</c:v>
                </c:pt>
                <c:pt idx="22">
                  <c:v>820</c:v>
                </c:pt>
                <c:pt idx="23">
                  <c:v>830</c:v>
                </c:pt>
                <c:pt idx="24">
                  <c:v>840</c:v>
                </c:pt>
                <c:pt idx="25">
                  <c:v>850</c:v>
                </c:pt>
              </c:numCache>
            </c:numRef>
          </c:xVal>
          <c:yVal>
            <c:numRef>
              <c:f>'10nm'!N2:N28</c:f>
              <c:numCache>
                <c:formatCode>0.00000</c:formatCode>
                <c:ptCount val="27"/>
                <c:pt idx="0">
                  <c:v>1.4573</c:v>
                </c:pt>
                <c:pt idx="1">
                  <c:v>1.4569000000000001</c:v>
                </c:pt>
                <c:pt idx="2">
                  <c:v>1.4565999999999999</c:v>
                </c:pt>
                <c:pt idx="3">
                  <c:v>1.4562999999999999</c:v>
                </c:pt>
                <c:pt idx="4">
                  <c:v>1.456</c:v>
                </c:pt>
                <c:pt idx="5">
                  <c:v>1.4557</c:v>
                </c:pt>
                <c:pt idx="6">
                  <c:v>1.4554</c:v>
                </c:pt>
                <c:pt idx="7">
                  <c:v>1.4551000000000001</c:v>
                </c:pt>
                <c:pt idx="8">
                  <c:v>1.4548000000000001</c:v>
                </c:pt>
                <c:pt idx="9">
                  <c:v>1.4544999999999999</c:v>
                </c:pt>
                <c:pt idx="10">
                  <c:v>1.4542999999999999</c:v>
                </c:pt>
                <c:pt idx="11">
                  <c:v>1.454</c:v>
                </c:pt>
                <c:pt idx="12">
                  <c:v>1.4538</c:v>
                </c:pt>
                <c:pt idx="13">
                  <c:v>1.4535</c:v>
                </c:pt>
                <c:pt idx="14">
                  <c:v>1.4533</c:v>
                </c:pt>
                <c:pt idx="15">
                  <c:v>1.4531000000000001</c:v>
                </c:pt>
                <c:pt idx="16">
                  <c:v>1.4529000000000001</c:v>
                </c:pt>
                <c:pt idx="17">
                  <c:v>1.4525999999999999</c:v>
                </c:pt>
                <c:pt idx="18">
                  <c:v>1.4523999999999999</c:v>
                </c:pt>
                <c:pt idx="19">
                  <c:v>1.4521999999999999</c:v>
                </c:pt>
                <c:pt idx="20">
                  <c:v>1.452</c:v>
                </c:pt>
                <c:pt idx="21">
                  <c:v>1.4518</c:v>
                </c:pt>
                <c:pt idx="22">
                  <c:v>1.4516</c:v>
                </c:pt>
                <c:pt idx="23">
                  <c:v>1.4514</c:v>
                </c:pt>
                <c:pt idx="24">
                  <c:v>1.4512</c:v>
                </c:pt>
                <c:pt idx="25">
                  <c:v>1.4510000000000001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E6-43B5-A9BA-6FDCB2D42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656904"/>
        <c:axId val="1118675975"/>
      </c:scatterChart>
      <c:valAx>
        <c:axId val="1864656904"/>
        <c:scaling>
          <c:orientation val="minMax"/>
          <c:max val="850"/>
          <c:min val="6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Wavelength(nm)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18675975"/>
        <c:crosses val="autoZero"/>
        <c:crossBetween val="midCat"/>
      </c:valAx>
      <c:valAx>
        <c:axId val="1118675975"/>
        <c:scaling>
          <c:orientation val="minMax"/>
          <c:max val="8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Confinement Loss(db/cm)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64656904"/>
        <c:crossesAt val="600"/>
        <c:crossBetween val="midCat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Healthy Basal Cell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'10nm'!A2:A27</c:f>
              <c:numCache>
                <c:formatCode>General</c:formatCode>
                <c:ptCount val="26"/>
                <c:pt idx="0">
                  <c:v>600</c:v>
                </c:pt>
                <c:pt idx="1">
                  <c:v>610</c:v>
                </c:pt>
                <c:pt idx="2">
                  <c:v>620</c:v>
                </c:pt>
                <c:pt idx="3">
                  <c:v>630</c:v>
                </c:pt>
                <c:pt idx="4">
                  <c:v>640</c:v>
                </c:pt>
                <c:pt idx="5">
                  <c:v>650</c:v>
                </c:pt>
                <c:pt idx="6">
                  <c:v>660</c:v>
                </c:pt>
                <c:pt idx="7">
                  <c:v>670</c:v>
                </c:pt>
                <c:pt idx="8">
                  <c:v>680</c:v>
                </c:pt>
                <c:pt idx="9">
                  <c:v>690</c:v>
                </c:pt>
                <c:pt idx="10">
                  <c:v>700</c:v>
                </c:pt>
                <c:pt idx="11">
                  <c:v>710</c:v>
                </c:pt>
                <c:pt idx="12">
                  <c:v>720</c:v>
                </c:pt>
                <c:pt idx="13">
                  <c:v>730</c:v>
                </c:pt>
                <c:pt idx="14">
                  <c:v>740</c:v>
                </c:pt>
                <c:pt idx="15">
                  <c:v>750</c:v>
                </c:pt>
                <c:pt idx="16">
                  <c:v>760</c:v>
                </c:pt>
                <c:pt idx="17">
                  <c:v>770</c:v>
                </c:pt>
                <c:pt idx="18">
                  <c:v>780</c:v>
                </c:pt>
                <c:pt idx="19">
                  <c:v>790</c:v>
                </c:pt>
                <c:pt idx="20">
                  <c:v>800</c:v>
                </c:pt>
                <c:pt idx="21">
                  <c:v>810</c:v>
                </c:pt>
                <c:pt idx="22">
                  <c:v>820</c:v>
                </c:pt>
                <c:pt idx="23">
                  <c:v>830</c:v>
                </c:pt>
                <c:pt idx="24">
                  <c:v>840</c:v>
                </c:pt>
                <c:pt idx="25">
                  <c:v>850</c:v>
                </c:pt>
              </c:numCache>
            </c:numRef>
          </c:xVal>
          <c:yVal>
            <c:numRef>
              <c:f>'10nm'!$C$2:$C$27</c:f>
              <c:numCache>
                <c:formatCode>0.00</c:formatCode>
                <c:ptCount val="26"/>
                <c:pt idx="0">
                  <c:v>3.0362378569600001</c:v>
                </c:pt>
                <c:pt idx="1">
                  <c:v>3.842052145432131</c:v>
                </c:pt>
                <c:pt idx="2">
                  <c:v>5.3244047793909672</c:v>
                </c:pt>
                <c:pt idx="3">
                  <c:v>8.0606835102933321</c:v>
                </c:pt>
                <c:pt idx="4">
                  <c:v>13.939872373350001</c:v>
                </c:pt>
                <c:pt idx="5">
                  <c:v>27.701034993821541</c:v>
                </c:pt>
                <c:pt idx="6">
                  <c:v>47.040269886400004</c:v>
                </c:pt>
                <c:pt idx="7">
                  <c:v>34.46425790614925</c:v>
                </c:pt>
                <c:pt idx="8">
                  <c:v>19.607185751999999</c:v>
                </c:pt>
                <c:pt idx="9">
                  <c:v>12.108725701982609</c:v>
                </c:pt>
                <c:pt idx="10">
                  <c:v>8.3267192447999996</c:v>
                </c:pt>
                <c:pt idx="11">
                  <c:v>6.3862229401284507</c:v>
                </c:pt>
                <c:pt idx="12">
                  <c:v>5.2951484914533333</c:v>
                </c:pt>
                <c:pt idx="13">
                  <c:v>4.5860930306761638</c:v>
                </c:pt>
                <c:pt idx="14">
                  <c:v>4.0968781991351353</c:v>
                </c:pt>
                <c:pt idx="15">
                  <c:v>3.7572215522688004</c:v>
                </c:pt>
                <c:pt idx="16">
                  <c:v>3.5177023980884217</c:v>
                </c:pt>
                <c:pt idx="17">
                  <c:v>3.3800186188799999</c:v>
                </c:pt>
                <c:pt idx="18">
                  <c:v>3.2653165946584615</c:v>
                </c:pt>
                <c:pt idx="19">
                  <c:v>3.1955211180394936</c:v>
                </c:pt>
                <c:pt idx="20">
                  <c:v>3.1606253725200006</c:v>
                </c:pt>
                <c:pt idx="21">
                  <c:v>3.1178995368888893</c:v>
                </c:pt>
                <c:pt idx="22">
                  <c:v>3.1092275437112198</c:v>
                </c:pt>
                <c:pt idx="23">
                  <c:v>3.10983857540241</c:v>
                </c:pt>
                <c:pt idx="24">
                  <c:v>3.0832120923999997</c:v>
                </c:pt>
                <c:pt idx="25">
                  <c:v>3.062605495488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66-488E-87E8-33E1AAD1E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656904"/>
        <c:axId val="1118675975"/>
      </c:scatterChart>
      <c:valAx>
        <c:axId val="1864656904"/>
        <c:scaling>
          <c:orientation val="minMax"/>
          <c:max val="850"/>
          <c:min val="6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Wavelength(nm)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18675975"/>
        <c:crosses val="autoZero"/>
        <c:crossBetween val="midCat"/>
      </c:valAx>
      <c:valAx>
        <c:axId val="1118675975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Confinement Loss(db/cm)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64656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Gold Sweep Optimization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Gold layer(nm)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'Gold Sweep'!R2:R5</c:f>
              <c:numCache>
                <c:formatCode>General</c:formatCode>
                <c:ptCount val="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</c:numCache>
            </c:numRef>
          </c:xVal>
          <c:yVal>
            <c:numRef>
              <c:f>'Gold Sweep'!S2:S5</c:f>
              <c:numCache>
                <c:formatCode>General</c:formatCode>
                <c:ptCount val="4"/>
                <c:pt idx="0">
                  <c:v>2500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B9-468C-B148-D06C76CFD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402695"/>
        <c:axId val="1698823175"/>
      </c:scatterChart>
      <c:valAx>
        <c:axId val="1652402695"/>
        <c:scaling>
          <c:orientation val="minMax"/>
          <c:max val="60"/>
          <c:min val="3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823175"/>
        <c:crosses val="autoZero"/>
        <c:crossBetween val="midCat"/>
      </c:valAx>
      <c:valAx>
        <c:axId val="1698823175"/>
        <c:scaling>
          <c:orientation val="minMax"/>
          <c:max val="3200"/>
          <c:min val="2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Sensitivity(nm/RIU)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402695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Healthy Basal Cell-1.36</c:v>
          </c:tx>
          <c:spPr>
            <a:ln w="19050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'Fine sweep'!$A$2:$A$188</c:f>
              <c:numCache>
                <c:formatCode>General</c:formatCode>
                <c:ptCount val="187"/>
                <c:pt idx="0">
                  <c:v>600</c:v>
                </c:pt>
                <c:pt idx="1">
                  <c:v>605</c:v>
                </c:pt>
                <c:pt idx="2">
                  <c:v>610</c:v>
                </c:pt>
                <c:pt idx="3">
                  <c:v>615</c:v>
                </c:pt>
                <c:pt idx="4">
                  <c:v>620</c:v>
                </c:pt>
                <c:pt idx="5">
                  <c:v>625</c:v>
                </c:pt>
                <c:pt idx="6">
                  <c:v>630</c:v>
                </c:pt>
                <c:pt idx="7">
                  <c:v>631</c:v>
                </c:pt>
                <c:pt idx="8">
                  <c:v>632</c:v>
                </c:pt>
                <c:pt idx="9">
                  <c:v>633</c:v>
                </c:pt>
                <c:pt idx="10">
                  <c:v>634</c:v>
                </c:pt>
                <c:pt idx="11">
                  <c:v>635</c:v>
                </c:pt>
                <c:pt idx="12">
                  <c:v>636</c:v>
                </c:pt>
                <c:pt idx="13">
                  <c:v>637</c:v>
                </c:pt>
                <c:pt idx="14">
                  <c:v>638</c:v>
                </c:pt>
                <c:pt idx="15">
                  <c:v>639</c:v>
                </c:pt>
                <c:pt idx="16">
                  <c:v>640</c:v>
                </c:pt>
                <c:pt idx="17">
                  <c:v>641</c:v>
                </c:pt>
                <c:pt idx="18">
                  <c:v>642</c:v>
                </c:pt>
                <c:pt idx="19">
                  <c:v>643</c:v>
                </c:pt>
                <c:pt idx="20">
                  <c:v>644</c:v>
                </c:pt>
                <c:pt idx="21">
                  <c:v>645</c:v>
                </c:pt>
                <c:pt idx="22">
                  <c:v>646</c:v>
                </c:pt>
                <c:pt idx="23">
                  <c:v>647</c:v>
                </c:pt>
                <c:pt idx="24">
                  <c:v>648</c:v>
                </c:pt>
                <c:pt idx="25">
                  <c:v>649</c:v>
                </c:pt>
                <c:pt idx="26">
                  <c:v>650</c:v>
                </c:pt>
                <c:pt idx="27">
                  <c:v>650.20000000000005</c:v>
                </c:pt>
                <c:pt idx="28">
                  <c:v>650.40000000000009</c:v>
                </c:pt>
                <c:pt idx="29">
                  <c:v>650.60000000000014</c:v>
                </c:pt>
                <c:pt idx="30">
                  <c:v>650.80000000000018</c:v>
                </c:pt>
                <c:pt idx="31">
                  <c:v>651.00000000000023</c:v>
                </c:pt>
                <c:pt idx="32">
                  <c:v>651.20000000000027</c:v>
                </c:pt>
                <c:pt idx="33">
                  <c:v>651.40000000000032</c:v>
                </c:pt>
                <c:pt idx="34">
                  <c:v>651.60000000000036</c:v>
                </c:pt>
                <c:pt idx="35">
                  <c:v>651.80000000000041</c:v>
                </c:pt>
                <c:pt idx="36">
                  <c:v>652.00000000000045</c:v>
                </c:pt>
                <c:pt idx="37">
                  <c:v>652.2000000000005</c:v>
                </c:pt>
                <c:pt idx="38">
                  <c:v>652.40000000000055</c:v>
                </c:pt>
                <c:pt idx="39">
                  <c:v>652.60000000000059</c:v>
                </c:pt>
                <c:pt idx="40">
                  <c:v>652.80000000000064</c:v>
                </c:pt>
                <c:pt idx="41">
                  <c:v>653.00000000000068</c:v>
                </c:pt>
                <c:pt idx="42">
                  <c:v>653.20000000000073</c:v>
                </c:pt>
                <c:pt idx="43">
                  <c:v>653.40000000000077</c:v>
                </c:pt>
                <c:pt idx="44">
                  <c:v>653.60000000000082</c:v>
                </c:pt>
                <c:pt idx="45">
                  <c:v>653.80000000000086</c:v>
                </c:pt>
                <c:pt idx="46">
                  <c:v>654.00000000000091</c:v>
                </c:pt>
                <c:pt idx="47">
                  <c:v>654.20000000000095</c:v>
                </c:pt>
                <c:pt idx="48">
                  <c:v>654.400000000001</c:v>
                </c:pt>
                <c:pt idx="49">
                  <c:v>654.60000000000105</c:v>
                </c:pt>
                <c:pt idx="50">
                  <c:v>654.80000000000109</c:v>
                </c:pt>
                <c:pt idx="51">
                  <c:v>655.00000000000114</c:v>
                </c:pt>
                <c:pt idx="52">
                  <c:v>655.20000000000118</c:v>
                </c:pt>
                <c:pt idx="53">
                  <c:v>655.40000000000123</c:v>
                </c:pt>
                <c:pt idx="54">
                  <c:v>655.60000000000127</c:v>
                </c:pt>
                <c:pt idx="55">
                  <c:v>655.80000000000132</c:v>
                </c:pt>
                <c:pt idx="56">
                  <c:v>656.00000000000136</c:v>
                </c:pt>
                <c:pt idx="57">
                  <c:v>656.20000000000141</c:v>
                </c:pt>
                <c:pt idx="58">
                  <c:v>656.40000000000146</c:v>
                </c:pt>
                <c:pt idx="59">
                  <c:v>656.6000000000015</c:v>
                </c:pt>
                <c:pt idx="60">
                  <c:v>656.80000000000155</c:v>
                </c:pt>
                <c:pt idx="61">
                  <c:v>657.00000000000159</c:v>
                </c:pt>
                <c:pt idx="62">
                  <c:v>657.20000000000164</c:v>
                </c:pt>
                <c:pt idx="63">
                  <c:v>657.40000000000168</c:v>
                </c:pt>
                <c:pt idx="64">
                  <c:v>657.60000000000173</c:v>
                </c:pt>
                <c:pt idx="65">
                  <c:v>657.80000000000177</c:v>
                </c:pt>
                <c:pt idx="66">
                  <c:v>658.00000000000182</c:v>
                </c:pt>
                <c:pt idx="67">
                  <c:v>658.20000000000186</c:v>
                </c:pt>
                <c:pt idx="68">
                  <c:v>658.40000000000191</c:v>
                </c:pt>
                <c:pt idx="69">
                  <c:v>658.60000000000196</c:v>
                </c:pt>
                <c:pt idx="70">
                  <c:v>658.800000000002</c:v>
                </c:pt>
                <c:pt idx="71">
                  <c:v>659.00000000000205</c:v>
                </c:pt>
                <c:pt idx="72">
                  <c:v>659.20000000000209</c:v>
                </c:pt>
                <c:pt idx="73">
                  <c:v>659.40000000000214</c:v>
                </c:pt>
                <c:pt idx="74">
                  <c:v>659.60000000000218</c:v>
                </c:pt>
                <c:pt idx="75">
                  <c:v>659.80000000000223</c:v>
                </c:pt>
                <c:pt idx="76">
                  <c:v>660.00000000000227</c:v>
                </c:pt>
                <c:pt idx="77">
                  <c:v>660.20000000000232</c:v>
                </c:pt>
                <c:pt idx="78">
                  <c:v>660.40000000000236</c:v>
                </c:pt>
                <c:pt idx="79">
                  <c:v>660.60000000000241</c:v>
                </c:pt>
                <c:pt idx="80">
                  <c:v>660.80000000000246</c:v>
                </c:pt>
                <c:pt idx="81">
                  <c:v>661.0000000000025</c:v>
                </c:pt>
                <c:pt idx="82">
                  <c:v>661.20000000000255</c:v>
                </c:pt>
                <c:pt idx="83">
                  <c:v>661.40000000000259</c:v>
                </c:pt>
                <c:pt idx="84">
                  <c:v>661.60000000000264</c:v>
                </c:pt>
                <c:pt idx="85">
                  <c:v>661.80000000000268</c:v>
                </c:pt>
                <c:pt idx="86">
                  <c:v>662.00000000000273</c:v>
                </c:pt>
                <c:pt idx="87">
                  <c:v>662.20000000000277</c:v>
                </c:pt>
                <c:pt idx="88">
                  <c:v>662.40000000000282</c:v>
                </c:pt>
                <c:pt idx="89">
                  <c:v>662.60000000000286</c:v>
                </c:pt>
                <c:pt idx="90">
                  <c:v>662.80000000000291</c:v>
                </c:pt>
                <c:pt idx="91">
                  <c:v>663.00000000000296</c:v>
                </c:pt>
                <c:pt idx="92">
                  <c:v>663.200000000003</c:v>
                </c:pt>
                <c:pt idx="93">
                  <c:v>663.40000000000305</c:v>
                </c:pt>
                <c:pt idx="94">
                  <c:v>663.60000000000309</c:v>
                </c:pt>
                <c:pt idx="95">
                  <c:v>663.80000000000314</c:v>
                </c:pt>
                <c:pt idx="96">
                  <c:v>664.00000000000318</c:v>
                </c:pt>
                <c:pt idx="97">
                  <c:v>664.20000000000323</c:v>
                </c:pt>
                <c:pt idx="98">
                  <c:v>664.40000000000327</c:v>
                </c:pt>
                <c:pt idx="99">
                  <c:v>664.60000000000332</c:v>
                </c:pt>
                <c:pt idx="100">
                  <c:v>664.80000000000337</c:v>
                </c:pt>
                <c:pt idx="101">
                  <c:v>665.00000000000341</c:v>
                </c:pt>
                <c:pt idx="102">
                  <c:v>665.20000000000346</c:v>
                </c:pt>
                <c:pt idx="103">
                  <c:v>665.4000000000035</c:v>
                </c:pt>
                <c:pt idx="104">
                  <c:v>665.60000000000355</c:v>
                </c:pt>
                <c:pt idx="105">
                  <c:v>665.80000000000359</c:v>
                </c:pt>
                <c:pt idx="106">
                  <c:v>666.00000000000364</c:v>
                </c:pt>
                <c:pt idx="107">
                  <c:v>666.20000000000368</c:v>
                </c:pt>
                <c:pt idx="108">
                  <c:v>666.40000000000373</c:v>
                </c:pt>
                <c:pt idx="109">
                  <c:v>666.60000000000377</c:v>
                </c:pt>
                <c:pt idx="110">
                  <c:v>666.80000000000382</c:v>
                </c:pt>
                <c:pt idx="111">
                  <c:v>667.00000000000387</c:v>
                </c:pt>
                <c:pt idx="112">
                  <c:v>667.20000000000391</c:v>
                </c:pt>
                <c:pt idx="113">
                  <c:v>667.40000000000396</c:v>
                </c:pt>
                <c:pt idx="114">
                  <c:v>667.600000000004</c:v>
                </c:pt>
                <c:pt idx="115">
                  <c:v>667.80000000000405</c:v>
                </c:pt>
                <c:pt idx="116">
                  <c:v>668.00000000000409</c:v>
                </c:pt>
                <c:pt idx="117">
                  <c:v>668.20000000000414</c:v>
                </c:pt>
                <c:pt idx="118">
                  <c:v>668.40000000000418</c:v>
                </c:pt>
                <c:pt idx="119">
                  <c:v>668.60000000000423</c:v>
                </c:pt>
                <c:pt idx="120">
                  <c:v>668.80000000000427</c:v>
                </c:pt>
                <c:pt idx="121">
                  <c:v>669.00000000000432</c:v>
                </c:pt>
                <c:pt idx="122">
                  <c:v>669.20000000000437</c:v>
                </c:pt>
                <c:pt idx="123">
                  <c:v>669.40000000000441</c:v>
                </c:pt>
                <c:pt idx="124">
                  <c:v>669.60000000000446</c:v>
                </c:pt>
                <c:pt idx="125">
                  <c:v>669.8000000000045</c:v>
                </c:pt>
                <c:pt idx="126">
                  <c:v>670.00000000000455</c:v>
                </c:pt>
                <c:pt idx="127">
                  <c:v>671</c:v>
                </c:pt>
                <c:pt idx="128">
                  <c:v>672</c:v>
                </c:pt>
                <c:pt idx="129">
                  <c:v>673</c:v>
                </c:pt>
                <c:pt idx="130">
                  <c:v>674</c:v>
                </c:pt>
                <c:pt idx="131">
                  <c:v>675</c:v>
                </c:pt>
                <c:pt idx="132">
                  <c:v>676</c:v>
                </c:pt>
                <c:pt idx="133">
                  <c:v>677</c:v>
                </c:pt>
                <c:pt idx="134">
                  <c:v>678</c:v>
                </c:pt>
                <c:pt idx="135">
                  <c:v>679</c:v>
                </c:pt>
                <c:pt idx="136">
                  <c:v>680</c:v>
                </c:pt>
                <c:pt idx="137">
                  <c:v>681</c:v>
                </c:pt>
                <c:pt idx="138">
                  <c:v>682</c:v>
                </c:pt>
                <c:pt idx="139">
                  <c:v>683</c:v>
                </c:pt>
                <c:pt idx="140">
                  <c:v>684</c:v>
                </c:pt>
                <c:pt idx="141">
                  <c:v>685</c:v>
                </c:pt>
                <c:pt idx="142">
                  <c:v>686</c:v>
                </c:pt>
                <c:pt idx="143">
                  <c:v>687</c:v>
                </c:pt>
                <c:pt idx="144">
                  <c:v>688</c:v>
                </c:pt>
                <c:pt idx="145">
                  <c:v>689</c:v>
                </c:pt>
                <c:pt idx="146">
                  <c:v>690</c:v>
                </c:pt>
                <c:pt idx="147">
                  <c:v>691</c:v>
                </c:pt>
                <c:pt idx="148">
                  <c:v>692</c:v>
                </c:pt>
                <c:pt idx="149">
                  <c:v>693</c:v>
                </c:pt>
                <c:pt idx="150">
                  <c:v>694</c:v>
                </c:pt>
                <c:pt idx="151">
                  <c:v>695</c:v>
                </c:pt>
                <c:pt idx="152">
                  <c:v>696</c:v>
                </c:pt>
                <c:pt idx="153">
                  <c:v>697</c:v>
                </c:pt>
                <c:pt idx="154">
                  <c:v>698</c:v>
                </c:pt>
                <c:pt idx="155">
                  <c:v>699</c:v>
                </c:pt>
                <c:pt idx="156">
                  <c:v>700</c:v>
                </c:pt>
                <c:pt idx="157">
                  <c:v>705</c:v>
                </c:pt>
                <c:pt idx="158">
                  <c:v>710</c:v>
                </c:pt>
                <c:pt idx="159">
                  <c:v>715</c:v>
                </c:pt>
                <c:pt idx="160">
                  <c:v>720</c:v>
                </c:pt>
                <c:pt idx="161">
                  <c:v>725</c:v>
                </c:pt>
                <c:pt idx="162">
                  <c:v>730</c:v>
                </c:pt>
                <c:pt idx="163">
                  <c:v>735</c:v>
                </c:pt>
                <c:pt idx="164">
                  <c:v>740</c:v>
                </c:pt>
                <c:pt idx="165">
                  <c:v>745</c:v>
                </c:pt>
                <c:pt idx="166">
                  <c:v>750</c:v>
                </c:pt>
                <c:pt idx="167">
                  <c:v>755</c:v>
                </c:pt>
                <c:pt idx="168">
                  <c:v>760</c:v>
                </c:pt>
                <c:pt idx="169">
                  <c:v>765</c:v>
                </c:pt>
                <c:pt idx="170">
                  <c:v>770</c:v>
                </c:pt>
                <c:pt idx="171">
                  <c:v>775</c:v>
                </c:pt>
                <c:pt idx="172">
                  <c:v>780</c:v>
                </c:pt>
                <c:pt idx="173">
                  <c:v>785</c:v>
                </c:pt>
                <c:pt idx="174">
                  <c:v>790</c:v>
                </c:pt>
                <c:pt idx="175">
                  <c:v>795</c:v>
                </c:pt>
                <c:pt idx="176">
                  <c:v>800</c:v>
                </c:pt>
                <c:pt idx="177">
                  <c:v>805</c:v>
                </c:pt>
                <c:pt idx="178">
                  <c:v>810</c:v>
                </c:pt>
                <c:pt idx="179">
                  <c:v>815</c:v>
                </c:pt>
                <c:pt idx="180">
                  <c:v>820</c:v>
                </c:pt>
                <c:pt idx="181">
                  <c:v>825</c:v>
                </c:pt>
                <c:pt idx="182">
                  <c:v>830</c:v>
                </c:pt>
                <c:pt idx="183">
                  <c:v>835</c:v>
                </c:pt>
                <c:pt idx="184">
                  <c:v>840</c:v>
                </c:pt>
                <c:pt idx="185">
                  <c:v>845</c:v>
                </c:pt>
                <c:pt idx="186">
                  <c:v>850</c:v>
                </c:pt>
              </c:numCache>
            </c:numRef>
          </c:xVal>
          <c:yVal>
            <c:numRef>
              <c:f>'Fine sweep'!$C$2:$C$188</c:f>
              <c:numCache>
                <c:formatCode>0.00</c:formatCode>
                <c:ptCount val="187"/>
                <c:pt idx="0">
                  <c:v>3.0362378569600001</c:v>
                </c:pt>
                <c:pt idx="1">
                  <c:v>3.3789232353163636</c:v>
                </c:pt>
                <c:pt idx="2">
                  <c:v>3.842052145432131</c:v>
                </c:pt>
                <c:pt idx="3">
                  <c:v>4.4811674308526834</c:v>
                </c:pt>
                <c:pt idx="4">
                  <c:v>5.3244047793909672</c:v>
                </c:pt>
                <c:pt idx="5">
                  <c:v>6.4563696968601594</c:v>
                </c:pt>
                <c:pt idx="6">
                  <c:v>8.0606835102933321</c:v>
                </c:pt>
                <c:pt idx="7">
                  <c:v>8.4590876738282095</c:v>
                </c:pt>
                <c:pt idx="8">
                  <c:v>8.8893047358987349</c:v>
                </c:pt>
                <c:pt idx="9">
                  <c:v>9.3546326369668247</c:v>
                </c:pt>
                <c:pt idx="10">
                  <c:v>9.8589510830536273</c:v>
                </c:pt>
                <c:pt idx="11">
                  <c:v>10.404654254664568</c:v>
                </c:pt>
                <c:pt idx="12">
                  <c:v>10.997553719547168</c:v>
                </c:pt>
                <c:pt idx="13">
                  <c:v>11.642567787956043</c:v>
                </c:pt>
                <c:pt idx="14">
                  <c:v>12.34372851310345</c:v>
                </c:pt>
                <c:pt idx="15">
                  <c:v>13.106750873539905</c:v>
                </c:pt>
                <c:pt idx="16">
                  <c:v>13.939872373350001</c:v>
                </c:pt>
                <c:pt idx="17">
                  <c:v>14.847873441697349</c:v>
                </c:pt>
                <c:pt idx="18">
                  <c:v>15.838905089196261</c:v>
                </c:pt>
                <c:pt idx="19">
                  <c:v>16.921916389772942</c:v>
                </c:pt>
                <c:pt idx="20">
                  <c:v>18.103258478608698</c:v>
                </c:pt>
                <c:pt idx="21">
                  <c:v>19.393473792000002</c:v>
                </c:pt>
                <c:pt idx="22">
                  <c:v>20.798815349052632</c:v>
                </c:pt>
                <c:pt idx="23">
                  <c:v>22.327184554386399</c:v>
                </c:pt>
                <c:pt idx="24">
                  <c:v>23.985591818222222</c:v>
                </c:pt>
                <c:pt idx="25">
                  <c:v>25.776799730440679</c:v>
                </c:pt>
                <c:pt idx="26">
                  <c:v>27.701034993821541</c:v>
                </c:pt>
                <c:pt idx="27">
                  <c:v>28.101287693337436</c:v>
                </c:pt>
                <c:pt idx="28">
                  <c:v>28.506328909815497</c:v>
                </c:pt>
                <c:pt idx="29">
                  <c:v>28.916993081684588</c:v>
                </c:pt>
                <c:pt idx="30">
                  <c:v>29.331597831444366</c:v>
                </c:pt>
                <c:pt idx="31">
                  <c:v>29.751816205419342</c:v>
                </c:pt>
                <c:pt idx="32">
                  <c:v>30.175966868108095</c:v>
                </c:pt>
                <c:pt idx="33">
                  <c:v>30.604884021811472</c:v>
                </c:pt>
                <c:pt idx="34">
                  <c:v>31.037725710349893</c:v>
                </c:pt>
                <c:pt idx="35">
                  <c:v>31.474488321080067</c:v>
                </c:pt>
                <c:pt idx="36">
                  <c:v>31.915168245791389</c:v>
                </c:pt>
                <c:pt idx="37">
                  <c:v>32.359761880699146</c:v>
                </c:pt>
                <c:pt idx="38">
                  <c:v>32.80742908635191</c:v>
                </c:pt>
                <c:pt idx="39">
                  <c:v>33.258167036910784</c:v>
                </c:pt>
                <c:pt idx="40">
                  <c:v>33.711972909999972</c:v>
                </c:pt>
                <c:pt idx="41">
                  <c:v>34.168008115258772</c:v>
                </c:pt>
                <c:pt idx="42">
                  <c:v>34.625435089381469</c:v>
                </c:pt>
                <c:pt idx="43">
                  <c:v>35.085087814141374</c:v>
                </c:pt>
                <c:pt idx="44">
                  <c:v>35.546129242105224</c:v>
                </c:pt>
                <c:pt idx="45">
                  <c:v>36.008558098843636</c:v>
                </c:pt>
                <c:pt idx="46">
                  <c:v>36.470704124477017</c:v>
                </c:pt>
                <c:pt idx="47">
                  <c:v>36.932567578404104</c:v>
                </c:pt>
                <c:pt idx="48">
                  <c:v>37.39414871970655</c:v>
                </c:pt>
                <c:pt idx="49">
                  <c:v>37.854614078533402</c:v>
                </c:pt>
                <c:pt idx="50">
                  <c:v>38.313964677287657</c:v>
                </c:pt>
                <c:pt idx="51">
                  <c:v>38.770535098186194</c:v>
                </c:pt>
                <c:pt idx="52">
                  <c:v>39.223494922051216</c:v>
                </c:pt>
                <c:pt idx="53">
                  <c:v>39.673680165224219</c:v>
                </c:pt>
                <c:pt idx="54">
                  <c:v>40.119428453154285</c:v>
                </c:pt>
                <c:pt idx="55">
                  <c:v>40.559911642232308</c:v>
                </c:pt>
                <c:pt idx="56">
                  <c:v>40.995134548097482</c:v>
                </c:pt>
                <c:pt idx="57">
                  <c:v>41.424270284766756</c:v>
                </c:pt>
                <c:pt idx="58">
                  <c:v>41.845661531700088</c:v>
                </c:pt>
                <c:pt idx="59">
                  <c:v>42.25848417671633</c:v>
                </c:pt>
                <c:pt idx="60">
                  <c:v>42.663576983386008</c:v>
                </c:pt>
                <c:pt idx="61">
                  <c:v>43.058454961826378</c:v>
                </c:pt>
                <c:pt idx="62">
                  <c:v>43.443127437808776</c:v>
                </c:pt>
                <c:pt idx="63">
                  <c:v>43.815943370562707</c:v>
                </c:pt>
                <c:pt idx="64">
                  <c:v>44.176913578102074</c:v>
                </c:pt>
                <c:pt idx="65">
                  <c:v>44.524389519732324</c:v>
                </c:pt>
                <c:pt idx="66">
                  <c:v>44.859212920850943</c:v>
                </c:pt>
                <c:pt idx="67">
                  <c:v>45.178078640947916</c:v>
                </c:pt>
                <c:pt idx="68">
                  <c:v>45.481830138954919</c:v>
                </c:pt>
                <c:pt idx="69">
                  <c:v>45.769652519307492</c:v>
                </c:pt>
                <c:pt idx="70">
                  <c:v>46.039903462586373</c:v>
                </c:pt>
                <c:pt idx="71">
                  <c:v>46.292598967065103</c:v>
                </c:pt>
                <c:pt idx="72">
                  <c:v>46.526927100873635</c:v>
                </c:pt>
                <c:pt idx="73">
                  <c:v>46.742076917197302</c:v>
                </c:pt>
                <c:pt idx="74">
                  <c:v>46.890076159175102</c:v>
                </c:pt>
                <c:pt idx="75">
                  <c:v>46.974294522703694</c:v>
                </c:pt>
                <c:pt idx="76">
                  <c:v>47.040269886399841</c:v>
                </c:pt>
                <c:pt idx="77">
                  <c:v>47.088845486482725</c:v>
                </c:pt>
                <c:pt idx="78">
                  <c:v>47.120037131338421</c:v>
                </c:pt>
                <c:pt idx="79">
                  <c:v>47.133034454059782</c:v>
                </c:pt>
                <c:pt idx="80">
                  <c:v>47.129505787118468</c:v>
                </c:pt>
                <c:pt idx="81">
                  <c:v>47.107814819001334</c:v>
                </c:pt>
                <c:pt idx="82">
                  <c:v>47.068803437386386</c:v>
                </c:pt>
                <c:pt idx="83">
                  <c:v>47.012487354774535</c:v>
                </c:pt>
                <c:pt idx="84">
                  <c:v>46.939707172091715</c:v>
                </c:pt>
                <c:pt idx="85">
                  <c:v>46.849653157860196</c:v>
                </c:pt>
                <c:pt idx="86">
                  <c:v>46.743989786102532</c:v>
                </c:pt>
                <c:pt idx="87">
                  <c:v>46.621907039999805</c:v>
                </c:pt>
                <c:pt idx="88">
                  <c:v>46.484243703333142</c:v>
                </c:pt>
                <c:pt idx="89">
                  <c:v>46.331013884696453</c:v>
                </c:pt>
                <c:pt idx="90">
                  <c:v>46.163055089583381</c:v>
                </c:pt>
                <c:pt idx="91">
                  <c:v>45.980380647384408</c:v>
                </c:pt>
                <c:pt idx="92">
                  <c:v>45.784649706007031</c:v>
                </c:pt>
                <c:pt idx="93">
                  <c:v>45.57422873574896</c:v>
                </c:pt>
                <c:pt idx="94">
                  <c:v>45.351598282531434</c:v>
                </c:pt>
                <c:pt idx="95">
                  <c:v>45.115947208869933</c:v>
                </c:pt>
                <c:pt idx="96">
                  <c:v>44.868931132047976</c:v>
                </c:pt>
                <c:pt idx="97">
                  <c:v>44.610560318554441</c:v>
                </c:pt>
                <c:pt idx="98">
                  <c:v>44.340845022516348</c:v>
                </c:pt>
                <c:pt idx="99">
                  <c:v>44.060616669515284</c:v>
                </c:pt>
                <c:pt idx="100">
                  <c:v>43.771526621371621</c:v>
                </c:pt>
                <c:pt idx="101">
                  <c:v>43.472762183747143</c:v>
                </c:pt>
                <c:pt idx="102">
                  <c:v>43.165152525892736</c:v>
                </c:pt>
                <c:pt idx="103">
                  <c:v>42.849525820162086</c:v>
                </c:pt>
                <c:pt idx="104">
                  <c:v>42.525889293461312</c:v>
                </c:pt>
                <c:pt idx="105">
                  <c:v>42.195889571498718</c:v>
                </c:pt>
                <c:pt idx="106">
                  <c:v>41.85871292929707</c:v>
                </c:pt>
                <c:pt idx="107">
                  <c:v>41.516004253761402</c:v>
                </c:pt>
                <c:pt idx="108">
                  <c:v>41.16776852571406</c:v>
                </c:pt>
                <c:pt idx="109">
                  <c:v>40.814829439999777</c:v>
                </c:pt>
                <c:pt idx="110">
                  <c:v>40.45800970322712</c:v>
                </c:pt>
                <c:pt idx="111">
                  <c:v>40.096494577223154</c:v>
                </c:pt>
                <c:pt idx="112">
                  <c:v>39.731106268201202</c:v>
                </c:pt>
                <c:pt idx="113">
                  <c:v>39.362665996811273</c:v>
                </c:pt>
                <c:pt idx="114">
                  <c:v>38.991993999616305</c:v>
                </c:pt>
                <c:pt idx="115">
                  <c:v>38.618275032955744</c:v>
                </c:pt>
                <c:pt idx="116">
                  <c:v>38.243145841868028</c:v>
                </c:pt>
                <c:pt idx="117">
                  <c:v>37.866607692642688</c:v>
                </c:pt>
                <c:pt idx="118">
                  <c:v>37.488661850053631</c:v>
                </c:pt>
                <c:pt idx="119">
                  <c:v>37.110125848303689</c:v>
                </c:pt>
                <c:pt idx="120">
                  <c:v>36.731000216841871</c:v>
                </c:pt>
                <c:pt idx="121">
                  <c:v>36.352101267371964</c:v>
                </c:pt>
                <c:pt idx="122">
                  <c:v>35.972613257572988</c:v>
                </c:pt>
                <c:pt idx="123">
                  <c:v>35.594167306268069</c:v>
                </c:pt>
                <c:pt idx="124">
                  <c:v>35.21594742781339</c:v>
                </c:pt>
                <c:pt idx="125">
                  <c:v>34.839583036751037</c:v>
                </c:pt>
                <c:pt idx="126">
                  <c:v>34.464257906149015</c:v>
                </c:pt>
                <c:pt idx="127">
                  <c:v>32.612948850885246</c:v>
                </c:pt>
                <c:pt idx="128">
                  <c:v>30.821563091000002</c:v>
                </c:pt>
                <c:pt idx="129">
                  <c:v>29.105241260077268</c:v>
                </c:pt>
                <c:pt idx="130">
                  <c:v>27.476604943050447</c:v>
                </c:pt>
                <c:pt idx="131">
                  <c:v>25.938498552462221</c:v>
                </c:pt>
                <c:pt idx="132">
                  <c:v>24.49294233457988</c:v>
                </c:pt>
                <c:pt idx="133">
                  <c:v>23.140332313382572</c:v>
                </c:pt>
                <c:pt idx="134">
                  <c:v>21.877842360778761</c:v>
                </c:pt>
                <c:pt idx="135">
                  <c:v>20.701859229030926</c:v>
                </c:pt>
                <c:pt idx="136">
                  <c:v>19.607185751999999</c:v>
                </c:pt>
                <c:pt idx="137">
                  <c:v>18.589456698079296</c:v>
                </c:pt>
                <c:pt idx="138">
                  <c:v>17.643532205419358</c:v>
                </c:pt>
                <c:pt idx="139">
                  <c:v>16.764302513850662</c:v>
                </c:pt>
                <c:pt idx="140">
                  <c:v>15.947485637754388</c:v>
                </c:pt>
                <c:pt idx="141">
                  <c:v>15.187231139597081</c:v>
                </c:pt>
                <c:pt idx="142">
                  <c:v>14.480904961959181</c:v>
                </c:pt>
                <c:pt idx="143">
                  <c:v>13.823505158008734</c:v>
                </c:pt>
                <c:pt idx="144">
                  <c:v>13.211645369999999</c:v>
                </c:pt>
                <c:pt idx="145">
                  <c:v>12.641166797050799</c:v>
                </c:pt>
                <c:pt idx="146">
                  <c:v>12.108725701982609</c:v>
                </c:pt>
                <c:pt idx="147">
                  <c:v>11.611787513609261</c:v>
                </c:pt>
                <c:pt idx="148">
                  <c:v>11.147832311445086</c:v>
                </c:pt>
                <c:pt idx="149">
                  <c:v>10.712779658666669</c:v>
                </c:pt>
                <c:pt idx="150">
                  <c:v>10.304931824507205</c:v>
                </c:pt>
                <c:pt idx="151">
                  <c:v>9.9226008493122304</c:v>
                </c:pt>
                <c:pt idx="152">
                  <c:v>9.5633243382068969</c:v>
                </c:pt>
                <c:pt idx="153">
                  <c:v>9.2254370388292681</c:v>
                </c:pt>
                <c:pt idx="154">
                  <c:v>8.9080651311403987</c:v>
                </c:pt>
                <c:pt idx="155">
                  <c:v>8.608778254008584</c:v>
                </c:pt>
                <c:pt idx="156">
                  <c:v>8.3267192447999996</c:v>
                </c:pt>
                <c:pt idx="157">
                  <c:v>7.1551681827812761</c:v>
                </c:pt>
                <c:pt idx="158">
                  <c:v>6.3862229401284507</c:v>
                </c:pt>
                <c:pt idx="159">
                  <c:v>5.7780967507199996</c:v>
                </c:pt>
                <c:pt idx="160">
                  <c:v>5.2951484914533333</c:v>
                </c:pt>
                <c:pt idx="161">
                  <c:v>4.9076885291917236</c:v>
                </c:pt>
                <c:pt idx="162">
                  <c:v>4.5860930306761638</c:v>
                </c:pt>
                <c:pt idx="163">
                  <c:v>4.3171373605485712</c:v>
                </c:pt>
                <c:pt idx="164">
                  <c:v>4.0968781991351353</c:v>
                </c:pt>
                <c:pt idx="165">
                  <c:v>3.9154710786104703</c:v>
                </c:pt>
                <c:pt idx="166">
                  <c:v>3.7572215522688004</c:v>
                </c:pt>
                <c:pt idx="167">
                  <c:v>3.6179106672317887</c:v>
                </c:pt>
                <c:pt idx="168">
                  <c:v>3.5177023980884217</c:v>
                </c:pt>
                <c:pt idx="169">
                  <c:v>3.4424892573866663</c:v>
                </c:pt>
                <c:pt idx="170">
                  <c:v>3.3800186188799999</c:v>
                </c:pt>
                <c:pt idx="171">
                  <c:v>3.3199737242632259</c:v>
                </c:pt>
                <c:pt idx="172">
                  <c:v>3.2653165946584615</c:v>
                </c:pt>
                <c:pt idx="173">
                  <c:v>3.2233137603791078</c:v>
                </c:pt>
                <c:pt idx="174">
                  <c:v>3.1955211180394936</c:v>
                </c:pt>
                <c:pt idx="175">
                  <c:v>3.1781694569298109</c:v>
                </c:pt>
                <c:pt idx="176">
                  <c:v>3.1606253725200006</c:v>
                </c:pt>
                <c:pt idx="177">
                  <c:v>3.1376721492313044</c:v>
                </c:pt>
                <c:pt idx="178">
                  <c:v>3.1178995368888893</c:v>
                </c:pt>
                <c:pt idx="179">
                  <c:v>3.1080123873099383</c:v>
                </c:pt>
                <c:pt idx="180">
                  <c:v>3.1092275437112198</c:v>
                </c:pt>
                <c:pt idx="181">
                  <c:v>3.1095018348799996</c:v>
                </c:pt>
                <c:pt idx="182">
                  <c:v>3.10983857540241</c:v>
                </c:pt>
                <c:pt idx="183">
                  <c:v>3.1008901163037121</c:v>
                </c:pt>
                <c:pt idx="184">
                  <c:v>3.0832120923999997</c:v>
                </c:pt>
                <c:pt idx="185">
                  <c:v>3.0685850966002368</c:v>
                </c:pt>
                <c:pt idx="186">
                  <c:v>3.062605495488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93-40BB-B09F-211D5DB0840F}"/>
            </c:ext>
          </c:extLst>
        </c:ser>
        <c:ser>
          <c:idx val="0"/>
          <c:order val="1"/>
          <c:tx>
            <c:v>Cancerous Basal Cell-1.38</c:v>
          </c:tx>
          <c:spPr>
            <a:ln w="1905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'Fine sweep'!D2:D214</c:f>
              <c:numCache>
                <c:formatCode>General</c:formatCode>
                <c:ptCount val="213"/>
                <c:pt idx="0">
                  <c:v>600</c:v>
                </c:pt>
                <c:pt idx="1">
                  <c:v>605</c:v>
                </c:pt>
                <c:pt idx="2">
                  <c:v>610</c:v>
                </c:pt>
                <c:pt idx="3">
                  <c:v>615</c:v>
                </c:pt>
                <c:pt idx="4">
                  <c:v>620</c:v>
                </c:pt>
                <c:pt idx="5">
                  <c:v>625</c:v>
                </c:pt>
                <c:pt idx="6">
                  <c:v>630</c:v>
                </c:pt>
                <c:pt idx="7">
                  <c:v>635</c:v>
                </c:pt>
                <c:pt idx="8">
                  <c:v>640</c:v>
                </c:pt>
                <c:pt idx="9">
                  <c:v>645</c:v>
                </c:pt>
                <c:pt idx="10">
                  <c:v>650</c:v>
                </c:pt>
                <c:pt idx="11">
                  <c:v>655</c:v>
                </c:pt>
                <c:pt idx="12">
                  <c:v>660</c:v>
                </c:pt>
                <c:pt idx="13">
                  <c:v>665</c:v>
                </c:pt>
                <c:pt idx="14">
                  <c:v>670</c:v>
                </c:pt>
                <c:pt idx="15">
                  <c:v>671</c:v>
                </c:pt>
                <c:pt idx="16">
                  <c:v>672</c:v>
                </c:pt>
                <c:pt idx="17">
                  <c:v>673</c:v>
                </c:pt>
                <c:pt idx="18">
                  <c:v>674</c:v>
                </c:pt>
                <c:pt idx="19">
                  <c:v>675</c:v>
                </c:pt>
                <c:pt idx="20">
                  <c:v>676</c:v>
                </c:pt>
                <c:pt idx="21">
                  <c:v>677</c:v>
                </c:pt>
                <c:pt idx="22">
                  <c:v>678</c:v>
                </c:pt>
                <c:pt idx="23">
                  <c:v>679</c:v>
                </c:pt>
                <c:pt idx="24">
                  <c:v>680</c:v>
                </c:pt>
                <c:pt idx="25">
                  <c:v>681</c:v>
                </c:pt>
                <c:pt idx="26">
                  <c:v>682</c:v>
                </c:pt>
                <c:pt idx="27">
                  <c:v>683</c:v>
                </c:pt>
                <c:pt idx="28">
                  <c:v>684</c:v>
                </c:pt>
                <c:pt idx="29">
                  <c:v>685</c:v>
                </c:pt>
                <c:pt idx="30">
                  <c:v>686</c:v>
                </c:pt>
                <c:pt idx="31">
                  <c:v>687</c:v>
                </c:pt>
                <c:pt idx="32">
                  <c:v>688</c:v>
                </c:pt>
                <c:pt idx="33">
                  <c:v>689</c:v>
                </c:pt>
                <c:pt idx="34">
                  <c:v>690</c:v>
                </c:pt>
                <c:pt idx="35">
                  <c:v>691</c:v>
                </c:pt>
                <c:pt idx="36">
                  <c:v>692</c:v>
                </c:pt>
                <c:pt idx="37">
                  <c:v>693</c:v>
                </c:pt>
                <c:pt idx="38">
                  <c:v>694</c:v>
                </c:pt>
                <c:pt idx="39">
                  <c:v>695</c:v>
                </c:pt>
                <c:pt idx="40">
                  <c:v>696</c:v>
                </c:pt>
                <c:pt idx="41">
                  <c:v>697</c:v>
                </c:pt>
                <c:pt idx="42">
                  <c:v>698</c:v>
                </c:pt>
                <c:pt idx="43">
                  <c:v>699</c:v>
                </c:pt>
                <c:pt idx="44">
                  <c:v>700</c:v>
                </c:pt>
                <c:pt idx="45">
                  <c:v>701</c:v>
                </c:pt>
                <c:pt idx="46">
                  <c:v>702</c:v>
                </c:pt>
                <c:pt idx="47">
                  <c:v>703</c:v>
                </c:pt>
                <c:pt idx="48">
                  <c:v>704</c:v>
                </c:pt>
                <c:pt idx="49">
                  <c:v>705</c:v>
                </c:pt>
                <c:pt idx="50">
                  <c:v>706</c:v>
                </c:pt>
                <c:pt idx="51">
                  <c:v>707</c:v>
                </c:pt>
                <c:pt idx="52">
                  <c:v>708</c:v>
                </c:pt>
                <c:pt idx="53">
                  <c:v>709</c:v>
                </c:pt>
                <c:pt idx="54">
                  <c:v>710</c:v>
                </c:pt>
                <c:pt idx="55">
                  <c:v>710.2</c:v>
                </c:pt>
                <c:pt idx="56">
                  <c:v>710.40000000000009</c:v>
                </c:pt>
                <c:pt idx="57">
                  <c:v>710.60000000000014</c:v>
                </c:pt>
                <c:pt idx="58">
                  <c:v>710.80000000000018</c:v>
                </c:pt>
                <c:pt idx="59">
                  <c:v>711.00000000000023</c:v>
                </c:pt>
                <c:pt idx="60">
                  <c:v>711.20000000000027</c:v>
                </c:pt>
                <c:pt idx="61">
                  <c:v>711.40000000000032</c:v>
                </c:pt>
                <c:pt idx="62">
                  <c:v>711.60000000000036</c:v>
                </c:pt>
                <c:pt idx="63">
                  <c:v>711.80000000000041</c:v>
                </c:pt>
                <c:pt idx="64">
                  <c:v>712.00000000000045</c:v>
                </c:pt>
                <c:pt idx="65">
                  <c:v>712.2000000000005</c:v>
                </c:pt>
                <c:pt idx="66">
                  <c:v>712.40000000000055</c:v>
                </c:pt>
                <c:pt idx="67">
                  <c:v>712.60000000000059</c:v>
                </c:pt>
                <c:pt idx="68">
                  <c:v>712.80000000000064</c:v>
                </c:pt>
                <c:pt idx="69">
                  <c:v>713.00000000000068</c:v>
                </c:pt>
                <c:pt idx="70">
                  <c:v>713.20000000000073</c:v>
                </c:pt>
                <c:pt idx="71">
                  <c:v>713.40000000000077</c:v>
                </c:pt>
                <c:pt idx="72">
                  <c:v>713.60000000000082</c:v>
                </c:pt>
                <c:pt idx="73">
                  <c:v>713.80000000000086</c:v>
                </c:pt>
                <c:pt idx="74">
                  <c:v>714.00000000000091</c:v>
                </c:pt>
                <c:pt idx="75">
                  <c:v>714.20000000000095</c:v>
                </c:pt>
                <c:pt idx="76">
                  <c:v>714.400000000001</c:v>
                </c:pt>
                <c:pt idx="77">
                  <c:v>714.60000000000105</c:v>
                </c:pt>
                <c:pt idx="78">
                  <c:v>714.80000000000109</c:v>
                </c:pt>
                <c:pt idx="79">
                  <c:v>715.00000000000114</c:v>
                </c:pt>
                <c:pt idx="80">
                  <c:v>715.20000000000118</c:v>
                </c:pt>
                <c:pt idx="81">
                  <c:v>715.40000000000123</c:v>
                </c:pt>
                <c:pt idx="82">
                  <c:v>715.60000000000127</c:v>
                </c:pt>
                <c:pt idx="83">
                  <c:v>715.80000000000132</c:v>
                </c:pt>
                <c:pt idx="84">
                  <c:v>716.00000000000136</c:v>
                </c:pt>
                <c:pt idx="85">
                  <c:v>716.20000000000141</c:v>
                </c:pt>
                <c:pt idx="86">
                  <c:v>716.40000000000146</c:v>
                </c:pt>
                <c:pt idx="87">
                  <c:v>716.6000000000015</c:v>
                </c:pt>
                <c:pt idx="88">
                  <c:v>716.80000000000155</c:v>
                </c:pt>
                <c:pt idx="89">
                  <c:v>717.00000000000159</c:v>
                </c:pt>
                <c:pt idx="90">
                  <c:v>717.20000000000164</c:v>
                </c:pt>
                <c:pt idx="91">
                  <c:v>717.40000000000168</c:v>
                </c:pt>
                <c:pt idx="92">
                  <c:v>717.60000000000173</c:v>
                </c:pt>
                <c:pt idx="93">
                  <c:v>717.80000000000177</c:v>
                </c:pt>
                <c:pt idx="94">
                  <c:v>718.00000000000182</c:v>
                </c:pt>
                <c:pt idx="95">
                  <c:v>718.20000000000186</c:v>
                </c:pt>
                <c:pt idx="96">
                  <c:v>718.40000000000191</c:v>
                </c:pt>
                <c:pt idx="97">
                  <c:v>718.60000000000196</c:v>
                </c:pt>
                <c:pt idx="98">
                  <c:v>718.800000000002</c:v>
                </c:pt>
                <c:pt idx="99">
                  <c:v>719.00000000000205</c:v>
                </c:pt>
                <c:pt idx="100">
                  <c:v>719.20000000000209</c:v>
                </c:pt>
                <c:pt idx="101">
                  <c:v>719.40000000000214</c:v>
                </c:pt>
                <c:pt idx="102">
                  <c:v>719.60000000000218</c:v>
                </c:pt>
                <c:pt idx="103">
                  <c:v>719.80000000000223</c:v>
                </c:pt>
                <c:pt idx="104">
                  <c:v>720.00000000000227</c:v>
                </c:pt>
                <c:pt idx="105">
                  <c:v>720.20000000000232</c:v>
                </c:pt>
                <c:pt idx="106">
                  <c:v>720.40000000000236</c:v>
                </c:pt>
                <c:pt idx="107">
                  <c:v>720.60000000000241</c:v>
                </c:pt>
                <c:pt idx="108">
                  <c:v>720.80000000000246</c:v>
                </c:pt>
                <c:pt idx="109">
                  <c:v>721.0000000000025</c:v>
                </c:pt>
                <c:pt idx="110">
                  <c:v>721.20000000000255</c:v>
                </c:pt>
                <c:pt idx="111">
                  <c:v>721.40000000000259</c:v>
                </c:pt>
                <c:pt idx="112">
                  <c:v>721.60000000000264</c:v>
                </c:pt>
                <c:pt idx="113">
                  <c:v>721.80000000000268</c:v>
                </c:pt>
                <c:pt idx="114">
                  <c:v>722.00000000000273</c:v>
                </c:pt>
                <c:pt idx="115">
                  <c:v>722.20000000000277</c:v>
                </c:pt>
                <c:pt idx="116">
                  <c:v>722.40000000000282</c:v>
                </c:pt>
                <c:pt idx="117">
                  <c:v>722.60000000000286</c:v>
                </c:pt>
                <c:pt idx="118">
                  <c:v>722.80000000000291</c:v>
                </c:pt>
                <c:pt idx="119">
                  <c:v>723.00000000000296</c:v>
                </c:pt>
                <c:pt idx="120">
                  <c:v>723.200000000003</c:v>
                </c:pt>
                <c:pt idx="121">
                  <c:v>723.40000000000305</c:v>
                </c:pt>
                <c:pt idx="122">
                  <c:v>723.60000000000309</c:v>
                </c:pt>
                <c:pt idx="123">
                  <c:v>723.80000000000314</c:v>
                </c:pt>
                <c:pt idx="124">
                  <c:v>724.00000000000318</c:v>
                </c:pt>
                <c:pt idx="125">
                  <c:v>724.20000000000323</c:v>
                </c:pt>
                <c:pt idx="126">
                  <c:v>724.40000000000327</c:v>
                </c:pt>
                <c:pt idx="127">
                  <c:v>724.60000000000332</c:v>
                </c:pt>
                <c:pt idx="128">
                  <c:v>724.80000000000337</c:v>
                </c:pt>
                <c:pt idx="129">
                  <c:v>725.00000000000341</c:v>
                </c:pt>
                <c:pt idx="130">
                  <c:v>725.20000000000346</c:v>
                </c:pt>
                <c:pt idx="131">
                  <c:v>725.4000000000035</c:v>
                </c:pt>
                <c:pt idx="132">
                  <c:v>725.60000000000355</c:v>
                </c:pt>
                <c:pt idx="133">
                  <c:v>725.80000000000359</c:v>
                </c:pt>
                <c:pt idx="134">
                  <c:v>726.00000000000364</c:v>
                </c:pt>
                <c:pt idx="135">
                  <c:v>726.20000000000368</c:v>
                </c:pt>
                <c:pt idx="136">
                  <c:v>726.40000000000373</c:v>
                </c:pt>
                <c:pt idx="137">
                  <c:v>726.60000000000377</c:v>
                </c:pt>
                <c:pt idx="138">
                  <c:v>726.80000000000382</c:v>
                </c:pt>
                <c:pt idx="139">
                  <c:v>727.00000000000387</c:v>
                </c:pt>
                <c:pt idx="140">
                  <c:v>727.20000000000391</c:v>
                </c:pt>
                <c:pt idx="141">
                  <c:v>727.40000000000396</c:v>
                </c:pt>
                <c:pt idx="142">
                  <c:v>727.600000000004</c:v>
                </c:pt>
                <c:pt idx="143">
                  <c:v>727.80000000000405</c:v>
                </c:pt>
                <c:pt idx="144">
                  <c:v>728.00000000000409</c:v>
                </c:pt>
                <c:pt idx="145">
                  <c:v>728.20000000000414</c:v>
                </c:pt>
                <c:pt idx="146">
                  <c:v>728.40000000000418</c:v>
                </c:pt>
                <c:pt idx="147">
                  <c:v>728.60000000000423</c:v>
                </c:pt>
                <c:pt idx="148">
                  <c:v>728.80000000000427</c:v>
                </c:pt>
                <c:pt idx="149">
                  <c:v>729.00000000000432</c:v>
                </c:pt>
                <c:pt idx="150">
                  <c:v>729.20000000000437</c:v>
                </c:pt>
                <c:pt idx="151">
                  <c:v>729.40000000000441</c:v>
                </c:pt>
                <c:pt idx="152">
                  <c:v>729.60000000000446</c:v>
                </c:pt>
                <c:pt idx="153">
                  <c:v>729.8000000000045</c:v>
                </c:pt>
                <c:pt idx="154">
                  <c:v>730.00000000000455</c:v>
                </c:pt>
                <c:pt idx="155">
                  <c:v>731</c:v>
                </c:pt>
                <c:pt idx="156">
                  <c:v>732</c:v>
                </c:pt>
                <c:pt idx="157">
                  <c:v>733</c:v>
                </c:pt>
                <c:pt idx="158">
                  <c:v>734</c:v>
                </c:pt>
                <c:pt idx="159">
                  <c:v>735</c:v>
                </c:pt>
                <c:pt idx="160">
                  <c:v>736</c:v>
                </c:pt>
                <c:pt idx="161">
                  <c:v>737</c:v>
                </c:pt>
                <c:pt idx="162">
                  <c:v>738</c:v>
                </c:pt>
                <c:pt idx="163">
                  <c:v>739</c:v>
                </c:pt>
                <c:pt idx="164">
                  <c:v>740</c:v>
                </c:pt>
                <c:pt idx="165">
                  <c:v>741</c:v>
                </c:pt>
                <c:pt idx="166">
                  <c:v>742</c:v>
                </c:pt>
                <c:pt idx="167">
                  <c:v>743</c:v>
                </c:pt>
                <c:pt idx="168">
                  <c:v>744</c:v>
                </c:pt>
                <c:pt idx="169">
                  <c:v>745</c:v>
                </c:pt>
                <c:pt idx="170">
                  <c:v>746</c:v>
                </c:pt>
                <c:pt idx="171">
                  <c:v>747</c:v>
                </c:pt>
                <c:pt idx="172">
                  <c:v>748</c:v>
                </c:pt>
                <c:pt idx="173">
                  <c:v>749</c:v>
                </c:pt>
                <c:pt idx="174">
                  <c:v>750</c:v>
                </c:pt>
                <c:pt idx="175">
                  <c:v>751</c:v>
                </c:pt>
                <c:pt idx="176">
                  <c:v>752</c:v>
                </c:pt>
                <c:pt idx="177">
                  <c:v>753</c:v>
                </c:pt>
                <c:pt idx="178">
                  <c:v>754</c:v>
                </c:pt>
                <c:pt idx="179">
                  <c:v>755</c:v>
                </c:pt>
                <c:pt idx="180">
                  <c:v>756</c:v>
                </c:pt>
                <c:pt idx="181">
                  <c:v>757</c:v>
                </c:pt>
                <c:pt idx="182">
                  <c:v>758</c:v>
                </c:pt>
                <c:pt idx="183">
                  <c:v>759</c:v>
                </c:pt>
                <c:pt idx="184">
                  <c:v>760</c:v>
                </c:pt>
                <c:pt idx="185">
                  <c:v>765</c:v>
                </c:pt>
                <c:pt idx="186">
                  <c:v>770</c:v>
                </c:pt>
                <c:pt idx="187">
                  <c:v>775</c:v>
                </c:pt>
                <c:pt idx="188">
                  <c:v>780</c:v>
                </c:pt>
                <c:pt idx="189">
                  <c:v>785</c:v>
                </c:pt>
                <c:pt idx="190">
                  <c:v>790</c:v>
                </c:pt>
                <c:pt idx="191">
                  <c:v>795</c:v>
                </c:pt>
                <c:pt idx="192">
                  <c:v>800</c:v>
                </c:pt>
                <c:pt idx="193">
                  <c:v>805</c:v>
                </c:pt>
                <c:pt idx="194">
                  <c:v>810</c:v>
                </c:pt>
                <c:pt idx="195">
                  <c:v>815</c:v>
                </c:pt>
                <c:pt idx="196">
                  <c:v>820</c:v>
                </c:pt>
                <c:pt idx="197">
                  <c:v>825</c:v>
                </c:pt>
                <c:pt idx="198">
                  <c:v>830</c:v>
                </c:pt>
                <c:pt idx="199">
                  <c:v>835</c:v>
                </c:pt>
                <c:pt idx="200">
                  <c:v>840</c:v>
                </c:pt>
                <c:pt idx="201">
                  <c:v>845</c:v>
                </c:pt>
                <c:pt idx="202">
                  <c:v>850</c:v>
                </c:pt>
                <c:pt idx="203">
                  <c:v>855</c:v>
                </c:pt>
                <c:pt idx="204">
                  <c:v>860</c:v>
                </c:pt>
                <c:pt idx="205">
                  <c:v>865</c:v>
                </c:pt>
                <c:pt idx="206">
                  <c:v>870</c:v>
                </c:pt>
                <c:pt idx="207">
                  <c:v>875</c:v>
                </c:pt>
                <c:pt idx="208">
                  <c:v>880</c:v>
                </c:pt>
                <c:pt idx="209">
                  <c:v>885</c:v>
                </c:pt>
                <c:pt idx="210">
                  <c:v>890</c:v>
                </c:pt>
                <c:pt idx="211">
                  <c:v>895</c:v>
                </c:pt>
                <c:pt idx="212">
                  <c:v>900</c:v>
                </c:pt>
              </c:numCache>
            </c:numRef>
          </c:xVal>
          <c:yVal>
            <c:numRef>
              <c:f>'Fine sweep'!F2:F214</c:f>
              <c:numCache>
                <c:formatCode>0.00</c:formatCode>
                <c:ptCount val="213"/>
                <c:pt idx="0">
                  <c:v>1.6154459059200001</c:v>
                </c:pt>
                <c:pt idx="1">
                  <c:v>1.6255492084363636</c:v>
                </c:pt>
                <c:pt idx="2">
                  <c:v>1.6425549062242624</c:v>
                </c:pt>
                <c:pt idx="3">
                  <c:v>1.6677145083473173</c:v>
                </c:pt>
                <c:pt idx="4">
                  <c:v>1.7124501228077418</c:v>
                </c:pt>
                <c:pt idx="5">
                  <c:v>1.77419621170176</c:v>
                </c:pt>
                <c:pt idx="6">
                  <c:v>1.8497756557866667</c:v>
                </c:pt>
                <c:pt idx="7">
                  <c:v>1.9422995332988977</c:v>
                </c:pt>
                <c:pt idx="8">
                  <c:v>2.0564019225750001</c:v>
                </c:pt>
                <c:pt idx="9">
                  <c:v>2.1975039609600002</c:v>
                </c:pt>
                <c:pt idx="10">
                  <c:v>2.3724552763864617</c:v>
                </c:pt>
                <c:pt idx="11">
                  <c:v>2.5928123427077865</c:v>
                </c:pt>
                <c:pt idx="12">
                  <c:v>2.8836734785600004</c:v>
                </c:pt>
                <c:pt idx="13">
                  <c:v>3.3562111523368419</c:v>
                </c:pt>
                <c:pt idx="14">
                  <c:v>3.9702727360047754</c:v>
                </c:pt>
                <c:pt idx="15">
                  <c:v>4.1150697911606562</c:v>
                </c:pt>
                <c:pt idx="16">
                  <c:v>4.2683694537000001</c:v>
                </c:pt>
                <c:pt idx="17">
                  <c:v>4.4309447562080235</c:v>
                </c:pt>
                <c:pt idx="18">
                  <c:v>4.6032402511050448</c:v>
                </c:pt>
                <c:pt idx="19">
                  <c:v>4.7861829753173328</c:v>
                </c:pt>
                <c:pt idx="20">
                  <c:v>4.9805330132591719</c:v>
                </c:pt>
                <c:pt idx="21">
                  <c:v>5.1871265727385536</c:v>
                </c:pt>
                <c:pt idx="22">
                  <c:v>5.4068754235752214</c:v>
                </c:pt>
                <c:pt idx="23">
                  <c:v>5.6408467180206188</c:v>
                </c:pt>
                <c:pt idx="24">
                  <c:v>5.8901815896</c:v>
                </c:pt>
                <c:pt idx="25">
                  <c:v>6.1562548915030835</c:v>
                </c:pt>
                <c:pt idx="26">
                  <c:v>6.4405134365419361</c:v>
                </c:pt>
                <c:pt idx="27">
                  <c:v>6.7445553764732074</c:v>
                </c:pt>
                <c:pt idx="28">
                  <c:v>7.0702886743017546</c:v>
                </c:pt>
                <c:pt idx="29">
                  <c:v>7.419530478832117</c:v>
                </c:pt>
                <c:pt idx="30">
                  <c:v>7.7946442399346934</c:v>
                </c:pt>
                <c:pt idx="31">
                  <c:v>8.1982974099563304</c:v>
                </c:pt>
                <c:pt idx="32">
                  <c:v>8.6321900280000019</c:v>
                </c:pt>
                <c:pt idx="33">
                  <c:v>9.099675679210451</c:v>
                </c:pt>
                <c:pt idx="34">
                  <c:v>9.6053540351999995</c:v>
                </c:pt>
                <c:pt idx="35">
                  <c:v>10.15063890116353</c:v>
                </c:pt>
                <c:pt idx="36">
                  <c:v>10.740879253595374</c:v>
                </c:pt>
                <c:pt idx="37">
                  <c:v>11.380605664000001</c:v>
                </c:pt>
                <c:pt idx="38">
                  <c:v>12.074322591077809</c:v>
                </c:pt>
                <c:pt idx="39">
                  <c:v>12.827293832978416</c:v>
                </c:pt>
                <c:pt idx="40">
                  <c:v>13.646321208413791</c:v>
                </c:pt>
                <c:pt idx="41">
                  <c:v>14.537384490146342</c:v>
                </c:pt>
                <c:pt idx="42">
                  <c:v>15.510338629547277</c:v>
                </c:pt>
                <c:pt idx="43">
                  <c:v>16.570297558935621</c:v>
                </c:pt>
                <c:pt idx="44">
                  <c:v>17.729362886400001</c:v>
                </c:pt>
                <c:pt idx="45">
                  <c:v>18.99645299400856</c:v>
                </c:pt>
                <c:pt idx="46">
                  <c:v>20.382767749196582</c:v>
                </c:pt>
                <c:pt idx="47">
                  <c:v>21.900995949746797</c:v>
                </c:pt>
                <c:pt idx="48">
                  <c:v>23.565304748999999</c:v>
                </c:pt>
                <c:pt idx="49">
                  <c:v>25.351848750706385</c:v>
                </c:pt>
                <c:pt idx="50">
                  <c:v>27.25701642424929</c:v>
                </c:pt>
                <c:pt idx="51">
                  <c:v>29.323532832000001</c:v>
                </c:pt>
                <c:pt idx="52">
                  <c:v>31.559964441220341</c:v>
                </c:pt>
                <c:pt idx="53">
                  <c:v>33.971750355452748</c:v>
                </c:pt>
                <c:pt idx="54">
                  <c:v>36.566605058298599</c:v>
                </c:pt>
                <c:pt idx="55">
                  <c:v>37.108060229974647</c:v>
                </c:pt>
                <c:pt idx="56">
                  <c:v>37.656124701621614</c:v>
                </c:pt>
                <c:pt idx="57">
                  <c:v>38.21156091789473</c:v>
                </c:pt>
                <c:pt idx="58">
                  <c:v>38.774362656162062</c:v>
                </c:pt>
                <c:pt idx="59">
                  <c:v>39.343756107611803</c:v>
                </c:pt>
                <c:pt idx="60">
                  <c:v>39.920503088503921</c:v>
                </c:pt>
                <c:pt idx="61">
                  <c:v>40.504597396817523</c:v>
                </c:pt>
                <c:pt idx="62">
                  <c:v>41.094498945564908</c:v>
                </c:pt>
                <c:pt idx="63">
                  <c:v>41.691736300578796</c:v>
                </c:pt>
                <c:pt idx="64">
                  <c:v>42.295536764898856</c:v>
                </c:pt>
                <c:pt idx="65">
                  <c:v>42.905894809368121</c:v>
                </c:pt>
                <c:pt idx="66">
                  <c:v>43.523570995755158</c:v>
                </c:pt>
                <c:pt idx="67">
                  <c:v>44.146261553163029</c:v>
                </c:pt>
                <c:pt idx="68">
                  <c:v>44.775493570370337</c:v>
                </c:pt>
                <c:pt idx="69">
                  <c:v>45.410496102597435</c:v>
                </c:pt>
                <c:pt idx="70">
                  <c:v>46.050499069837308</c:v>
                </c:pt>
                <c:pt idx="71">
                  <c:v>46.696263277375898</c:v>
                </c:pt>
                <c:pt idx="72">
                  <c:v>47.347019084663629</c:v>
                </c:pt>
                <c:pt idx="73">
                  <c:v>48.004291460240907</c:v>
                </c:pt>
                <c:pt idx="74">
                  <c:v>48.664253087999946</c:v>
                </c:pt>
                <c:pt idx="75">
                  <c:v>49.327665862649049</c:v>
                </c:pt>
                <c:pt idx="76">
                  <c:v>49.994526885688622</c:v>
                </c:pt>
                <c:pt idx="77">
                  <c:v>50.66406953565064</c:v>
                </c:pt>
                <c:pt idx="78">
                  <c:v>51.337055074112953</c:v>
                </c:pt>
                <c:pt idx="79">
                  <c:v>52.011954014030685</c:v>
                </c:pt>
                <c:pt idx="80">
                  <c:v>52.689527835704602</c:v>
                </c:pt>
                <c:pt idx="81">
                  <c:v>53.367485679217133</c:v>
                </c:pt>
                <c:pt idx="82">
                  <c:v>54.046589881542666</c:v>
                </c:pt>
                <c:pt idx="83">
                  <c:v>54.726077035909384</c:v>
                </c:pt>
                <c:pt idx="84">
                  <c:v>55.404422355620021</c:v>
                </c:pt>
                <c:pt idx="85">
                  <c:v>56.082388817291147</c:v>
                </c:pt>
                <c:pt idx="86">
                  <c:v>56.757691316314798</c:v>
                </c:pt>
                <c:pt idx="87">
                  <c:v>57.430332083192731</c:v>
                </c:pt>
                <c:pt idx="88">
                  <c:v>58.099551963749875</c:v>
                </c:pt>
                <c:pt idx="89">
                  <c:v>58.765353820652592</c:v>
                </c:pt>
                <c:pt idx="90">
                  <c:v>59.425457640736056</c:v>
                </c:pt>
                <c:pt idx="91">
                  <c:v>60.079868189573318</c:v>
                </c:pt>
                <c:pt idx="92">
                  <c:v>60.727829694046683</c:v>
                </c:pt>
                <c:pt idx="93">
                  <c:v>61.367826901888961</c:v>
                </c:pt>
                <c:pt idx="94">
                  <c:v>61.999866468501246</c:v>
                </c:pt>
                <c:pt idx="95">
                  <c:v>62.62243524584779</c:v>
                </c:pt>
                <c:pt idx="96">
                  <c:v>63.234021770912967</c:v>
                </c:pt>
                <c:pt idx="97">
                  <c:v>63.834635213403665</c:v>
                </c:pt>
                <c:pt idx="98">
                  <c:v>64.422766205408834</c:v>
                </c:pt>
                <c:pt idx="99">
                  <c:v>64.996907058425421</c:v>
                </c:pt>
                <c:pt idx="100">
                  <c:v>65.557069443870773</c:v>
                </c:pt>
                <c:pt idx="101">
                  <c:v>66.102506389724567</c:v>
                </c:pt>
                <c:pt idx="102">
                  <c:v>66.630954915174911</c:v>
                </c:pt>
                <c:pt idx="103">
                  <c:v>67.141670972292104</c:v>
                </c:pt>
                <c:pt idx="104">
                  <c:v>67.633911339866458</c:v>
                </c:pt>
                <c:pt idx="105">
                  <c:v>68.106933622260257</c:v>
                </c:pt>
                <c:pt idx="106">
                  <c:v>68.559996248261839</c:v>
                </c:pt>
                <c:pt idx="107">
                  <c:v>68.991601102814087</c:v>
                </c:pt>
                <c:pt idx="108">
                  <c:v>69.400251733584668</c:v>
                </c:pt>
                <c:pt idx="109">
                  <c:v>69.786724189514317</c:v>
                </c:pt>
                <c:pt idx="110">
                  <c:v>70.149523447587114</c:v>
                </c:pt>
                <c:pt idx="111">
                  <c:v>70.487156142700059</c:v>
                </c:pt>
                <c:pt idx="112">
                  <c:v>70.799643200487537</c:v>
                </c:pt>
                <c:pt idx="113">
                  <c:v>71.08624941539459</c:v>
                </c:pt>
                <c:pt idx="114">
                  <c:v>71.346996295046836</c:v>
                </c:pt>
                <c:pt idx="115">
                  <c:v>71.579638255596521</c:v>
                </c:pt>
                <c:pt idx="116">
                  <c:v>71.785709599999706</c:v>
                </c:pt>
                <c:pt idx="117">
                  <c:v>71.963721848967324</c:v>
                </c:pt>
                <c:pt idx="118">
                  <c:v>72.112943232584101</c:v>
                </c:pt>
                <c:pt idx="119">
                  <c:v>72.234907349775625</c:v>
                </c:pt>
                <c:pt idx="120">
                  <c:v>72.327372881548371</c:v>
                </c:pt>
                <c:pt idx="121">
                  <c:v>72.391873165827732</c:v>
                </c:pt>
                <c:pt idx="122">
                  <c:v>72.427677163913458</c:v>
                </c:pt>
                <c:pt idx="123">
                  <c:v>72.434808663829472</c:v>
                </c:pt>
                <c:pt idx="124">
                  <c:v>72.41404523774554</c:v>
                </c:pt>
                <c:pt idx="125">
                  <c:v>72.365409996619405</c:v>
                </c:pt>
                <c:pt idx="126">
                  <c:v>72.288926025885914</c:v>
                </c:pt>
                <c:pt idx="127">
                  <c:v>72.185369571735805</c:v>
                </c:pt>
                <c:pt idx="128">
                  <c:v>72.055516023575819</c:v>
                </c:pt>
                <c:pt idx="129">
                  <c:v>71.898634373825871</c:v>
                </c:pt>
                <c:pt idx="130">
                  <c:v>71.716252110578822</c:v>
                </c:pt>
                <c:pt idx="131">
                  <c:v>71.509142681753161</c:v>
                </c:pt>
                <c:pt idx="132">
                  <c:v>71.278078682513438</c:v>
                </c:pt>
                <c:pt idx="133">
                  <c:v>71.023079915480508</c:v>
                </c:pt>
                <c:pt idx="134">
                  <c:v>70.745669629090571</c:v>
                </c:pt>
                <c:pt idx="135">
                  <c:v>70.445866340159384</c:v>
                </c:pt>
                <c:pt idx="136">
                  <c:v>70.125942504713294</c:v>
                </c:pt>
                <c:pt idx="137">
                  <c:v>69.7851636245083</c:v>
                </c:pt>
                <c:pt idx="138">
                  <c:v>69.427301448012841</c:v>
                </c:pt>
                <c:pt idx="139">
                  <c:v>69.049367275047771</c:v>
                </c:pt>
                <c:pt idx="140">
                  <c:v>68.65362914666629</c:v>
                </c:pt>
                <c:pt idx="141">
                  <c:v>68.240852035545402</c:v>
                </c:pt>
                <c:pt idx="142">
                  <c:v>67.81330023476599</c:v>
                </c:pt>
                <c:pt idx="143">
                  <c:v>67.370236049991391</c:v>
                </c:pt>
                <c:pt idx="144">
                  <c:v>66.913921271999641</c:v>
                </c:pt>
                <c:pt idx="145">
                  <c:v>66.445116281328936</c:v>
                </c:pt>
                <c:pt idx="146">
                  <c:v>65.963831366457597</c:v>
                </c:pt>
                <c:pt idx="147">
                  <c:v>65.471574907098159</c:v>
                </c:pt>
                <c:pt idx="148">
                  <c:v>64.969104781514432</c:v>
                </c:pt>
                <c:pt idx="149">
                  <c:v>64.457178036279458</c:v>
                </c:pt>
                <c:pt idx="150">
                  <c:v>63.936550887415954</c:v>
                </c:pt>
                <c:pt idx="151">
                  <c:v>63.40797872153513</c:v>
                </c:pt>
                <c:pt idx="152">
                  <c:v>62.872964121578569</c:v>
                </c:pt>
                <c:pt idx="153">
                  <c:v>62.331512384148695</c:v>
                </c:pt>
                <c:pt idx="154">
                  <c:v>61.783628800043452</c:v>
                </c:pt>
                <c:pt idx="155">
                  <c:v>58.988233919999999</c:v>
                </c:pt>
                <c:pt idx="156">
                  <c:v>56.149032258360663</c:v>
                </c:pt>
                <c:pt idx="157">
                  <c:v>53.325767499306963</c:v>
                </c:pt>
                <c:pt idx="158">
                  <c:v>50.562986937678481</c:v>
                </c:pt>
                <c:pt idx="159">
                  <c:v>47.893857500342854</c:v>
                </c:pt>
                <c:pt idx="160">
                  <c:v>45.339501538434781</c:v>
                </c:pt>
                <c:pt idx="161">
                  <c:v>42.913521624358204</c:v>
                </c:pt>
                <c:pt idx="162">
                  <c:v>40.623530519804881</c:v>
                </c:pt>
                <c:pt idx="163">
                  <c:v>38.471191702213808</c:v>
                </c:pt>
                <c:pt idx="164">
                  <c:v>36.455947121772972</c:v>
                </c:pt>
                <c:pt idx="165">
                  <c:v>34.572086125344129</c:v>
                </c:pt>
                <c:pt idx="166">
                  <c:v>32.814664368905653</c:v>
                </c:pt>
                <c:pt idx="167">
                  <c:v>31.17729505873486</c:v>
                </c:pt>
                <c:pt idx="168">
                  <c:v>29.652158645290328</c:v>
                </c:pt>
                <c:pt idx="169">
                  <c:v>28.233675249438928</c:v>
                </c:pt>
                <c:pt idx="170">
                  <c:v>26.914100170680967</c:v>
                </c:pt>
                <c:pt idx="171">
                  <c:v>25.684268977991966</c:v>
                </c:pt>
                <c:pt idx="172">
                  <c:v>24.538714367999997</c:v>
                </c:pt>
                <c:pt idx="173">
                  <c:v>23.470540935476638</c:v>
                </c:pt>
                <c:pt idx="174">
                  <c:v>22.472890050688004</c:v>
                </c:pt>
                <c:pt idx="175">
                  <c:v>21.539666323941415</c:v>
                </c:pt>
                <c:pt idx="176">
                  <c:v>20.666984016893618</c:v>
                </c:pt>
                <c:pt idx="177">
                  <c:v>19.849528474135457</c:v>
                </c:pt>
                <c:pt idx="178">
                  <c:v>19.082737052689655</c:v>
                </c:pt>
                <c:pt idx="179">
                  <c:v>18.3635170010702</c:v>
                </c:pt>
                <c:pt idx="180">
                  <c:v>17.688070028444447</c:v>
                </c:pt>
                <c:pt idx="181">
                  <c:v>17.082176842652576</c:v>
                </c:pt>
                <c:pt idx="182">
                  <c:v>16.511002243883905</c:v>
                </c:pt>
                <c:pt idx="183">
                  <c:v>15.974409004521737</c:v>
                </c:pt>
                <c:pt idx="184">
                  <c:v>15.468670101094739</c:v>
                </c:pt>
                <c:pt idx="185">
                  <c:v>13.340769493333333</c:v>
                </c:pt>
                <c:pt idx="186">
                  <c:v>11.733104390399999</c:v>
                </c:pt>
                <c:pt idx="187">
                  <c:v>10.480680652923871</c:v>
                </c:pt>
                <c:pt idx="188">
                  <c:v>9.4710134193230768</c:v>
                </c:pt>
                <c:pt idx="189">
                  <c:v>8.6535785810751591</c:v>
                </c:pt>
                <c:pt idx="190">
                  <c:v>7.997092801458229</c:v>
                </c:pt>
                <c:pt idx="191">
                  <c:v>7.4696867679396224</c:v>
                </c:pt>
                <c:pt idx="192">
                  <c:v>7.0368769086000009</c:v>
                </c:pt>
                <c:pt idx="193">
                  <c:v>6.6608330268939122</c:v>
                </c:pt>
                <c:pt idx="194">
                  <c:v>6.3280390406281493</c:v>
                </c:pt>
                <c:pt idx="195">
                  <c:v>6.0447301871823313</c:v>
                </c:pt>
                <c:pt idx="196">
                  <c:v>5.8113989255648777</c:v>
                </c:pt>
                <c:pt idx="197">
                  <c:v>5.6067615788800005</c:v>
                </c:pt>
                <c:pt idx="198">
                  <c:v>5.4350996292549389</c:v>
                </c:pt>
                <c:pt idx="199">
                  <c:v>5.2828793590304191</c:v>
                </c:pt>
                <c:pt idx="200">
                  <c:v>5.1301972400800011</c:v>
                </c:pt>
                <c:pt idx="201">
                  <c:v>4.9824867650044977</c:v>
                </c:pt>
                <c:pt idx="202">
                  <c:v>4.8539783402880001</c:v>
                </c:pt>
                <c:pt idx="203">
                  <c:v>4.7489309510287718</c:v>
                </c:pt>
                <c:pt idx="204">
                  <c:v>4.6671892344000003</c:v>
                </c:pt>
                <c:pt idx="205">
                  <c:v>4.6080966718002312</c:v>
                </c:pt>
                <c:pt idx="206">
                  <c:v>4.5682516778041382</c:v>
                </c:pt>
                <c:pt idx="207">
                  <c:v>4.5309827177472002</c:v>
                </c:pt>
                <c:pt idx="208">
                  <c:v>4.4732992071600002</c:v>
                </c:pt>
                <c:pt idx="209">
                  <c:v>4.4012205796881352</c:v>
                </c:pt>
                <c:pt idx="210">
                  <c:v>4.3358999816197752</c:v>
                </c:pt>
                <c:pt idx="211">
                  <c:v>4.3238118243646921</c:v>
                </c:pt>
                <c:pt idx="212">
                  <c:v>4.3499398128853333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E0-44AD-986E-988327C6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743431"/>
        <c:axId val="1840745479"/>
      </c:scatterChart>
      <c:valAx>
        <c:axId val="1840743431"/>
        <c:scaling>
          <c:orientation val="minMax"/>
          <c:min val="5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Wavelength(nm)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40745479"/>
        <c:crosses val="autoZero"/>
        <c:crossBetween val="midCat"/>
      </c:valAx>
      <c:valAx>
        <c:axId val="184074547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Confinement Loss(db/cm)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40743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257175</xdr:colOff>
      <xdr:row>2</xdr:row>
      <xdr:rowOff>19050</xdr:rowOff>
    </xdr:from>
    <xdr:to>
      <xdr:col>26</xdr:col>
      <xdr:colOff>123825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DC58F3-B938-5CF3-A603-EBA0C3083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266700</xdr:colOff>
      <xdr:row>20</xdr:row>
      <xdr:rowOff>114300</xdr:rowOff>
    </xdr:from>
    <xdr:to>
      <xdr:col>60</xdr:col>
      <xdr:colOff>133350</xdr:colOff>
      <xdr:row>36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EDF7DD-D82E-4B0F-8AAC-DFFBBBBA3FFA}"/>
            </a:ext>
            <a:ext uri="{147F2762-F138-4A5C-976F-8EAC2B608ADB}">
              <a16:predDERef xmlns:a16="http://schemas.microsoft.com/office/drawing/2014/main" pred="{83DC58F3-B938-5CF3-A603-EBA0C3083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400050</xdr:colOff>
      <xdr:row>1</xdr:row>
      <xdr:rowOff>161925</xdr:rowOff>
    </xdr:from>
    <xdr:to>
      <xdr:col>6</xdr:col>
      <xdr:colOff>400050</xdr:colOff>
      <xdr:row>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8B7B0E-4FAA-4563-86A6-A23EE3D40B28}"/>
            </a:ext>
            <a:ext uri="{147F2762-F138-4A5C-976F-8EAC2B608ADB}">
              <a16:predDERef xmlns:a16="http://schemas.microsoft.com/office/drawing/2014/main" pred="{09EDF7DD-D82E-4B0F-8AAC-DFFBBBBA3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904875</xdr:colOff>
      <xdr:row>19</xdr:row>
      <xdr:rowOff>95250</xdr:rowOff>
    </xdr:from>
    <xdr:to>
      <xdr:col>22</xdr:col>
      <xdr:colOff>257175</xdr:colOff>
      <xdr:row>35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CBA00B-D77C-4BB1-A633-C043B0012020}"/>
            </a:ext>
            <a:ext uri="{147F2762-F138-4A5C-976F-8EAC2B608ADB}">
              <a16:predDERef xmlns:a16="http://schemas.microsoft.com/office/drawing/2014/main" pred="{B68B7B0E-4FAA-4563-86A6-A23EE3D40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571500</xdr:colOff>
      <xdr:row>1</xdr:row>
      <xdr:rowOff>104775</xdr:rowOff>
    </xdr:from>
    <xdr:to>
      <xdr:col>29</xdr:col>
      <xdr:colOff>238125</xdr:colOff>
      <xdr:row>17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94A49A-8A3D-8229-8D1E-292C41A9E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485775</xdr:colOff>
      <xdr:row>1</xdr:row>
      <xdr:rowOff>152400</xdr:rowOff>
    </xdr:from>
    <xdr:to>
      <xdr:col>24</xdr:col>
      <xdr:colOff>371475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3FB1E-827D-71A5-1292-A532C7F45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"/>
  <sheetViews>
    <sheetView workbookViewId="0">
      <selection activeCell="N9" sqref="N9"/>
    </sheetView>
  </sheetViews>
  <sheetFormatPr defaultRowHeight="15"/>
  <cols>
    <col min="1" max="1" width="13" customWidth="1"/>
    <col min="2" max="2" width="14.28515625" customWidth="1"/>
    <col min="3" max="3" width="17" style="2" customWidth="1"/>
    <col min="4" max="4" width="14" customWidth="1"/>
    <col min="5" max="5" width="17" style="2" customWidth="1"/>
    <col min="7" max="7" width="9.28515625" style="2" bestFit="1" customWidth="1"/>
    <col min="9" max="9" width="9.140625" style="2"/>
    <col min="10" max="10" width="10.85546875" customWidth="1"/>
    <col min="11" max="11" width="9.28515625" style="2" bestFit="1" customWidth="1"/>
    <col min="13" max="13" width="9.28515625" style="2" bestFit="1" customWidth="1"/>
    <col min="14" max="14" width="21.7109375" style="17" customWidth="1"/>
    <col min="15" max="15" width="21.28515625" style="2" customWidth="1"/>
    <col min="16" max="16" width="13.85546875" customWidth="1"/>
  </cols>
  <sheetData>
    <row r="1" spans="1:44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s="2" t="s">
        <v>12</v>
      </c>
      <c r="N1" s="17" t="s">
        <v>13</v>
      </c>
      <c r="O1" s="2" t="s">
        <v>14</v>
      </c>
      <c r="P1" t="s">
        <v>15</v>
      </c>
    </row>
    <row r="2" spans="1:44">
      <c r="A2">
        <v>600</v>
      </c>
      <c r="B2" s="1">
        <v>-3.3380000000000001E-6</v>
      </c>
      <c r="C2" s="2">
        <f>-8.686*2*3.1416*(B2)/((A2)*10^-7)</f>
        <v>3.0362378569600001</v>
      </c>
      <c r="D2" s="1">
        <v>-1.776E-6</v>
      </c>
      <c r="E2" s="2">
        <f>-8.686*2*3.1416*(D2)/((A2)*10^-7)</f>
        <v>1.6154459059200001</v>
      </c>
      <c r="F2" s="1">
        <v>-2.4401999999999999E-6</v>
      </c>
      <c r="G2" s="2">
        <f>-8.686*2*3.1416*(F2)/((A2)*10^-7)</f>
        <v>2.2196008443840003</v>
      </c>
      <c r="H2" s="1">
        <v>-1.4729999999999999E-6</v>
      </c>
      <c r="I2" s="2">
        <f>-8.686*2*3.1416*(H2)/((A2)*10^-7)</f>
        <v>1.33983773616</v>
      </c>
      <c r="J2" s="1">
        <v>-1.7410999999999999E-6</v>
      </c>
      <c r="K2" s="2">
        <f>-8.686*2*3.1416*(J2)/((A2)*10^-7)</f>
        <v>1.583700938512</v>
      </c>
      <c r="L2" s="1">
        <v>-1.4261E-6</v>
      </c>
      <c r="M2" s="2">
        <f>-8.686*2*3.1416*(L2)/((A2)*10^-7)</f>
        <v>1.297177593712</v>
      </c>
      <c r="N2" s="17">
        <v>1.4573</v>
      </c>
      <c r="O2" s="2">
        <v>630</v>
      </c>
      <c r="P2">
        <v>1.4679</v>
      </c>
    </row>
    <row r="3" spans="1:44">
      <c r="A3">
        <f>A2+10</f>
        <v>610</v>
      </c>
      <c r="B3" s="1">
        <v>-4.2942999999999997E-6</v>
      </c>
      <c r="C3" s="2">
        <f t="shared" ref="C3:C32" si="0">-8.686*2*3.1416*(B3)/((A3)*10^-7)</f>
        <v>3.842052145432131</v>
      </c>
      <c r="D3" s="1">
        <v>-1.8359000000000001E-6</v>
      </c>
      <c r="E3" s="2">
        <f t="shared" ref="E3:E27" si="1">-8.686*2*3.1416*(D3)/((A3)*10^-7)</f>
        <v>1.6425549062242624</v>
      </c>
      <c r="F3" s="1">
        <v>-2.8059000000000001E-6</v>
      </c>
      <c r="G3" s="2">
        <f t="shared" ref="G3:G27" si="2">-8.686*2*3.1416*(F3)/((A3)*10^-7)</f>
        <v>2.5104007905521315</v>
      </c>
      <c r="H3" s="1">
        <v>-1.4418999999999999E-6</v>
      </c>
      <c r="I3" s="2">
        <f t="shared" ref="I3:I27" si="3">-8.686*2*3.1416*(H3)/((A3)*10^-7)</f>
        <v>1.2900484336209836</v>
      </c>
      <c r="J3" s="1">
        <v>-1.7886999999999999E-6</v>
      </c>
      <c r="K3" s="2">
        <f t="shared" ref="K3:K27" si="4">-8.686*2*3.1416*(J3)/((A3)*10^-7)</f>
        <v>1.600325704430164</v>
      </c>
      <c r="L3" s="1">
        <v>-1.3845E-6</v>
      </c>
      <c r="M3" s="2">
        <f t="shared" ref="M3:M27" si="5">-8.686*2*3.1416*(L3)/((A3)*10^-7)</f>
        <v>1.2386934297442624</v>
      </c>
      <c r="N3" s="17">
        <v>1.4569000000000001</v>
      </c>
      <c r="O3" s="2">
        <v>635</v>
      </c>
      <c r="P3">
        <v>1.4653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44">
      <c r="A4">
        <f t="shared" ref="A4:A33" si="6">A3+10</f>
        <v>620</v>
      </c>
      <c r="B4" s="1">
        <v>-6.0487000000000002E-6</v>
      </c>
      <c r="C4" s="2">
        <f t="shared" si="0"/>
        <v>5.3244047793909672</v>
      </c>
      <c r="D4" s="1">
        <v>-1.9454E-6</v>
      </c>
      <c r="E4" s="2">
        <f t="shared" si="1"/>
        <v>1.7124501228077418</v>
      </c>
      <c r="F4" s="1">
        <v>-3.4137E-6</v>
      </c>
      <c r="G4" s="2">
        <f t="shared" si="2"/>
        <v>3.0049300833909673</v>
      </c>
      <c r="H4" s="1">
        <v>-1.4252999999999999E-6</v>
      </c>
      <c r="I4" s="2">
        <f t="shared" si="3"/>
        <v>1.2546289503638708</v>
      </c>
      <c r="J4" s="1">
        <v>-1.8805E-6</v>
      </c>
      <c r="K4" s="2">
        <f t="shared" si="4"/>
        <v>1.6553215050580645</v>
      </c>
      <c r="L4" s="1">
        <v>-1.3545999999999999E-6</v>
      </c>
      <c r="M4" s="2">
        <f t="shared" si="5"/>
        <v>1.1923948475148385</v>
      </c>
      <c r="N4" s="17">
        <v>1.4565999999999999</v>
      </c>
      <c r="O4" s="2">
        <v>640</v>
      </c>
      <c r="P4">
        <v>1.4629000000000001</v>
      </c>
    </row>
    <row r="5" spans="1:44">
      <c r="A5">
        <f t="shared" si="6"/>
        <v>630</v>
      </c>
      <c r="B5" s="1">
        <v>-9.3048999999999996E-6</v>
      </c>
      <c r="C5" s="2">
        <f t="shared" si="0"/>
        <v>8.0606835102933321</v>
      </c>
      <c r="D5" s="1">
        <v>-2.1353000000000001E-6</v>
      </c>
      <c r="E5" s="2">
        <f t="shared" si="1"/>
        <v>1.8497756557866667</v>
      </c>
      <c r="F5" s="1">
        <v>-4.4136000000000004E-6</v>
      </c>
      <c r="G5" s="2">
        <f t="shared" si="2"/>
        <v>3.8234298854400004</v>
      </c>
      <c r="H5" s="1">
        <v>-1.4416000000000001E-6</v>
      </c>
      <c r="I5" s="2">
        <f t="shared" si="3"/>
        <v>1.2488346299733335</v>
      </c>
      <c r="J5" s="1">
        <v>-2.0447999999999999E-6</v>
      </c>
      <c r="K5" s="2">
        <f t="shared" si="4"/>
        <v>1.7713769779199999</v>
      </c>
      <c r="L5" s="1">
        <v>-1.3534E-6</v>
      </c>
      <c r="M5" s="2">
        <f t="shared" si="5"/>
        <v>1.1724284046933333</v>
      </c>
      <c r="N5" s="17">
        <v>1.4562999999999999</v>
      </c>
      <c r="O5" s="2">
        <v>645</v>
      </c>
      <c r="P5">
        <v>1.4604999999999999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>
      <c r="A6">
        <f t="shared" si="6"/>
        <v>640</v>
      </c>
      <c r="B6" s="1">
        <v>-1.6347000000000001E-5</v>
      </c>
      <c r="C6" s="2">
        <f t="shared" si="0"/>
        <v>13.939872373350001</v>
      </c>
      <c r="D6" s="1">
        <v>-2.4115000000000001E-6</v>
      </c>
      <c r="E6" s="2">
        <f t="shared" si="1"/>
        <v>2.0564019225750001</v>
      </c>
      <c r="F6" s="1">
        <v>-6.1824999999999997E-6</v>
      </c>
      <c r="G6" s="2">
        <f t="shared" si="2"/>
        <v>5.272114819125</v>
      </c>
      <c r="H6" s="1">
        <v>-1.4654E-6</v>
      </c>
      <c r="I6" s="2">
        <f t="shared" si="3"/>
        <v>1.24961699247</v>
      </c>
      <c r="J6" s="1">
        <v>-2.2813000000000001E-6</v>
      </c>
      <c r="K6" s="2">
        <f t="shared" si="4"/>
        <v>1.945374126465</v>
      </c>
      <c r="L6" s="1">
        <v>-1.3547999999999999E-6</v>
      </c>
      <c r="M6" s="2">
        <f t="shared" si="5"/>
        <v>1.1553030581400001</v>
      </c>
      <c r="N6" s="17">
        <v>1.456</v>
      </c>
      <c r="O6" s="2">
        <v>650</v>
      </c>
      <c r="P6">
        <v>1.4582999999999999</v>
      </c>
    </row>
    <row r="7" spans="1:44">
      <c r="A7">
        <f t="shared" si="6"/>
        <v>650</v>
      </c>
      <c r="B7" s="1">
        <v>-3.2991999999999999E-5</v>
      </c>
      <c r="C7" s="2">
        <f t="shared" si="0"/>
        <v>27.701034993821541</v>
      </c>
      <c r="D7" s="1">
        <v>-2.8256000000000001E-6</v>
      </c>
      <c r="E7" s="2">
        <f t="shared" si="1"/>
        <v>2.3724552763864617</v>
      </c>
      <c r="F7" s="1">
        <v>-9.6706000000000002E-6</v>
      </c>
      <c r="G7" s="2">
        <f t="shared" si="2"/>
        <v>8.1197147493710773</v>
      </c>
      <c r="H7" s="1">
        <v>-1.5017E-6</v>
      </c>
      <c r="I7" s="2">
        <f t="shared" si="3"/>
        <v>1.2608706428898462</v>
      </c>
      <c r="J7" s="1">
        <v>-2.6317999999999999E-6</v>
      </c>
      <c r="K7" s="2">
        <f t="shared" si="4"/>
        <v>2.2097352054055386</v>
      </c>
      <c r="L7" s="1">
        <v>-1.3621000000000001E-6</v>
      </c>
      <c r="M7" s="2">
        <f t="shared" si="5"/>
        <v>1.1436584555372309</v>
      </c>
      <c r="N7" s="17">
        <v>1.4557</v>
      </c>
      <c r="O7" s="2">
        <v>655</v>
      </c>
      <c r="P7">
        <v>1.4561999999999999</v>
      </c>
    </row>
    <row r="8" spans="1:44">
      <c r="A8" s="6">
        <f t="shared" si="6"/>
        <v>660</v>
      </c>
      <c r="B8" s="1">
        <v>-5.6886999999999999E-5</v>
      </c>
      <c r="C8" s="5">
        <f t="shared" si="0"/>
        <v>47.040269886400004</v>
      </c>
      <c r="D8" s="1">
        <v>-3.4873000000000001E-6</v>
      </c>
      <c r="E8" s="2">
        <f t="shared" si="1"/>
        <v>2.8836734785600004</v>
      </c>
      <c r="F8" s="1">
        <v>-1.7717999999999999E-5</v>
      </c>
      <c r="G8" s="2">
        <f t="shared" si="2"/>
        <v>14.651141769600001</v>
      </c>
      <c r="H8" s="1">
        <v>-1.5579999999999999E-6</v>
      </c>
      <c r="I8" s="2">
        <f t="shared" si="3"/>
        <v>1.2883214176</v>
      </c>
      <c r="J8" s="1">
        <v>-3.1819E-6</v>
      </c>
      <c r="K8" s="2">
        <f t="shared" si="4"/>
        <v>2.6311360196800004</v>
      </c>
      <c r="L8" s="1">
        <v>-1.3783E-6</v>
      </c>
      <c r="M8" s="2">
        <f t="shared" si="5"/>
        <v>1.1397261937600001</v>
      </c>
      <c r="N8" s="17">
        <v>1.4554</v>
      </c>
      <c r="O8" s="2">
        <v>660</v>
      </c>
      <c r="P8">
        <v>1.4540999999999999</v>
      </c>
    </row>
    <row r="9" spans="1:44">
      <c r="A9">
        <f t="shared" si="6"/>
        <v>670</v>
      </c>
      <c r="B9" s="1">
        <v>-4.231E-5</v>
      </c>
      <c r="C9" s="2">
        <f t="shared" si="0"/>
        <v>34.46425790614925</v>
      </c>
      <c r="D9" s="1">
        <v>-4.8740999999999996E-6</v>
      </c>
      <c r="E9" s="2">
        <f t="shared" si="1"/>
        <v>3.9702727360047754</v>
      </c>
      <c r="F9" s="1">
        <v>-3.6949000000000001E-5</v>
      </c>
      <c r="G9" s="2">
        <f t="shared" si="2"/>
        <v>30.097373324847762</v>
      </c>
      <c r="H9" s="1">
        <v>-1.7955E-6</v>
      </c>
      <c r="I9" s="2">
        <f t="shared" si="3"/>
        <v>1.4625519988298508</v>
      </c>
      <c r="J9" s="1">
        <v>-4.3456999999999997E-6</v>
      </c>
      <c r="K9" s="2">
        <f t="shared" si="4"/>
        <v>3.5398564306961191</v>
      </c>
      <c r="L9" s="1">
        <v>-1.5454000000000001E-6</v>
      </c>
      <c r="M9" s="2">
        <f t="shared" si="5"/>
        <v>1.2588292169265671</v>
      </c>
      <c r="N9" s="17">
        <v>1.4551000000000001</v>
      </c>
      <c r="O9" s="2">
        <v>665</v>
      </c>
      <c r="P9">
        <v>1.4521999999999999</v>
      </c>
    </row>
    <row r="10" spans="1:44">
      <c r="A10" s="3">
        <f t="shared" si="6"/>
        <v>680</v>
      </c>
      <c r="B10" s="1">
        <v>-2.4430000000000002E-5</v>
      </c>
      <c r="C10" s="2">
        <f t="shared" si="0"/>
        <v>19.607185751999999</v>
      </c>
      <c r="D10" s="1">
        <v>-7.3390000000000004E-6</v>
      </c>
      <c r="E10" s="2">
        <f t="shared" si="1"/>
        <v>5.8901815896</v>
      </c>
      <c r="F10" s="1">
        <v>-6.7296000000000001E-5</v>
      </c>
      <c r="G10" s="4">
        <f t="shared" si="2"/>
        <v>54.010854374400004</v>
      </c>
      <c r="H10" s="1">
        <v>-2.1119999999999999E-6</v>
      </c>
      <c r="I10" s="2">
        <f t="shared" si="3"/>
        <v>1.6950624767999998</v>
      </c>
      <c r="J10" s="1">
        <v>-6.3509999999999998E-6</v>
      </c>
      <c r="K10" s="2">
        <f t="shared" si="4"/>
        <v>5.0972262264000001</v>
      </c>
      <c r="L10" s="1">
        <v>-1.7597000000000001E-6</v>
      </c>
      <c r="M10" s="2">
        <f t="shared" si="5"/>
        <v>1.4123112880799999</v>
      </c>
      <c r="N10" s="17">
        <v>1.4548000000000001</v>
      </c>
      <c r="O10" s="2">
        <v>670</v>
      </c>
      <c r="P10">
        <v>1.4502999999999999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4">
      <c r="A11">
        <f t="shared" si="6"/>
        <v>690</v>
      </c>
      <c r="B11" s="1">
        <v>-1.5308999999999999E-5</v>
      </c>
      <c r="C11" s="2">
        <f t="shared" si="0"/>
        <v>12.108725701982609</v>
      </c>
      <c r="D11" s="1">
        <v>-1.2143999999999999E-5</v>
      </c>
      <c r="E11" s="2">
        <f t="shared" si="1"/>
        <v>9.6053540351999995</v>
      </c>
      <c r="F11" s="1">
        <v>-5.6598999999999998E-5</v>
      </c>
      <c r="G11" s="2">
        <f t="shared" si="2"/>
        <v>44.767245803547823</v>
      </c>
      <c r="H11" s="1">
        <v>-2.5697999999999999E-6</v>
      </c>
      <c r="I11" s="2">
        <f t="shared" si="3"/>
        <v>2.0325954215791304</v>
      </c>
      <c r="J11" s="1">
        <v>-1.0105999999999999E-5</v>
      </c>
      <c r="K11" s="2">
        <f t="shared" si="4"/>
        <v>7.9933883300173907</v>
      </c>
      <c r="L11" s="1">
        <v>-2.0464999999999998E-6</v>
      </c>
      <c r="M11" s="2">
        <f t="shared" si="5"/>
        <v>1.6186888202434782</v>
      </c>
      <c r="N11" s="17">
        <v>1.4544999999999999</v>
      </c>
    </row>
    <row r="12" spans="1:44">
      <c r="A12">
        <f t="shared" si="6"/>
        <v>700</v>
      </c>
      <c r="B12" s="1">
        <v>-1.0679999999999999E-5</v>
      </c>
      <c r="C12" s="2">
        <f t="shared" si="0"/>
        <v>8.3267192447999996</v>
      </c>
      <c r="D12" s="1">
        <v>-2.2739999999999999E-5</v>
      </c>
      <c r="E12" s="2">
        <f t="shared" si="1"/>
        <v>17.729362886400001</v>
      </c>
      <c r="F12" s="1">
        <v>-3.1946999999999998E-5</v>
      </c>
      <c r="G12" s="2">
        <f t="shared" si="2"/>
        <v>24.90764978592</v>
      </c>
      <c r="H12" s="1">
        <v>-3.2214000000000002E-6</v>
      </c>
      <c r="I12" s="2">
        <f t="shared" si="3"/>
        <v>2.5115817767040003</v>
      </c>
      <c r="J12" s="1">
        <v>-1.7999000000000002E-5</v>
      </c>
      <c r="K12" s="2">
        <f t="shared" si="4"/>
        <v>14.033016824640001</v>
      </c>
      <c r="L12" s="1">
        <v>-2.4526E-6</v>
      </c>
      <c r="M12" s="2">
        <f t="shared" si="5"/>
        <v>1.912182735936</v>
      </c>
      <c r="N12" s="17">
        <v>1.4542999999999999</v>
      </c>
    </row>
    <row r="13" spans="1:44">
      <c r="A13">
        <f t="shared" si="6"/>
        <v>710</v>
      </c>
      <c r="B13" s="1">
        <v>-8.3080999999999993E-6</v>
      </c>
      <c r="C13" s="2">
        <f t="shared" si="0"/>
        <v>6.3862229401284507</v>
      </c>
      <c r="D13" s="1">
        <v>-4.7571000000000002E-5</v>
      </c>
      <c r="E13" s="2">
        <f t="shared" si="1"/>
        <v>36.566605058298599</v>
      </c>
      <c r="F13" s="1">
        <v>-1.9789999999999999E-5</v>
      </c>
      <c r="G13" s="2">
        <f t="shared" si="2"/>
        <v>15.212064369126763</v>
      </c>
      <c r="H13" s="1">
        <v>-4.2707999999999998E-6</v>
      </c>
      <c r="I13" s="2">
        <f t="shared" si="3"/>
        <v>3.2828541944247891</v>
      </c>
      <c r="J13" s="1">
        <v>-3.6134000000000003E-5</v>
      </c>
      <c r="K13" s="2">
        <f t="shared" si="4"/>
        <v>27.775277105307044</v>
      </c>
      <c r="L13" s="1">
        <v>-3.0452999999999999E-6</v>
      </c>
      <c r="M13" s="2">
        <f t="shared" si="5"/>
        <v>2.340843841500845</v>
      </c>
      <c r="N13" s="17">
        <v>1.454</v>
      </c>
    </row>
    <row r="14" spans="1:44">
      <c r="A14" s="6">
        <f>A13+10</f>
        <v>720</v>
      </c>
      <c r="B14" s="1">
        <v>-6.9856999999999999E-6</v>
      </c>
      <c r="C14" s="2">
        <f t="shared" si="0"/>
        <v>5.2951484914533333</v>
      </c>
      <c r="D14" s="1">
        <v>-8.9227000000000005E-5</v>
      </c>
      <c r="E14" s="5">
        <f t="shared" si="1"/>
        <v>67.633911339866671</v>
      </c>
      <c r="F14" s="1">
        <v>-1.4025999999999999E-5</v>
      </c>
      <c r="G14" s="2">
        <f t="shared" si="2"/>
        <v>10.631683688266666</v>
      </c>
      <c r="H14" s="1">
        <v>-5.9692000000000004E-6</v>
      </c>
      <c r="I14" s="2">
        <f t="shared" si="3"/>
        <v>4.5246432533866665</v>
      </c>
      <c r="J14" s="1">
        <v>-7.4200000000000001E-5</v>
      </c>
      <c r="K14" s="2">
        <f t="shared" si="4"/>
        <v>56.243471386666663</v>
      </c>
      <c r="L14" s="1">
        <v>-3.9728000000000003E-6</v>
      </c>
      <c r="M14" s="2">
        <f t="shared" si="5"/>
        <v>3.0113755138133333</v>
      </c>
      <c r="N14" s="17">
        <v>1.4538</v>
      </c>
    </row>
    <row r="15" spans="1:44">
      <c r="A15" s="16">
        <f t="shared" si="6"/>
        <v>730</v>
      </c>
      <c r="B15" s="1">
        <v>-6.1342999999999999E-6</v>
      </c>
      <c r="C15" s="2">
        <f t="shared" si="0"/>
        <v>4.5860930306761638</v>
      </c>
      <c r="D15" s="1">
        <v>-8.2640999999999997E-5</v>
      </c>
      <c r="E15" s="2">
        <f t="shared" si="1"/>
        <v>61.783628800043829</v>
      </c>
      <c r="F15" s="1">
        <v>-1.0854E-5</v>
      </c>
      <c r="G15" s="2">
        <f t="shared" si="2"/>
        <v>8.1146102660383566</v>
      </c>
      <c r="H15" s="1">
        <v>-8.8008000000000005E-6</v>
      </c>
      <c r="I15" s="2">
        <f t="shared" si="3"/>
        <v>6.5796077049336992</v>
      </c>
      <c r="J15" s="1">
        <v>-9.6539000000000005E-5</v>
      </c>
      <c r="K15" s="15">
        <f>-8.686*2*3.1416*(J15)/((A15)*10^-7)</f>
        <v>72.173978300449306</v>
      </c>
      <c r="L15" s="1">
        <v>-5.3754999999999996E-6</v>
      </c>
      <c r="M15" s="2">
        <f t="shared" si="5"/>
        <v>4.018802974487671</v>
      </c>
      <c r="N15" s="17">
        <v>1.4535</v>
      </c>
    </row>
    <row r="16" spans="1:44">
      <c r="A16">
        <f t="shared" si="6"/>
        <v>740</v>
      </c>
      <c r="B16" s="1">
        <v>-5.5550000000000002E-6</v>
      </c>
      <c r="C16" s="2">
        <f t="shared" si="0"/>
        <v>4.0968781991351353</v>
      </c>
      <c r="D16" s="1">
        <v>-4.9431000000000002E-5</v>
      </c>
      <c r="E16" s="2">
        <f t="shared" si="1"/>
        <v>36.455947121772972</v>
      </c>
      <c r="F16" s="1">
        <v>-8.9315000000000008E-6</v>
      </c>
      <c r="G16" s="2">
        <f t="shared" si="2"/>
        <v>6.5870868830918923</v>
      </c>
      <c r="H16" s="1">
        <v>-1.3919E-5</v>
      </c>
      <c r="I16" s="2">
        <f t="shared" si="3"/>
        <v>10.265427120389189</v>
      </c>
      <c r="J16" s="1">
        <v>-6.3074E-5</v>
      </c>
      <c r="K16" s="2">
        <f t="shared" si="4"/>
        <v>46.517820977902709</v>
      </c>
      <c r="L16" s="1">
        <v>-7.6033999999999999E-6</v>
      </c>
      <c r="M16" s="2">
        <f t="shared" si="5"/>
        <v>5.6075974256172971</v>
      </c>
      <c r="N16" s="17">
        <v>1.4533</v>
      </c>
    </row>
    <row r="17" spans="1:92">
      <c r="A17">
        <f t="shared" si="6"/>
        <v>750</v>
      </c>
      <c r="B17" s="1">
        <v>-5.1633000000000002E-6</v>
      </c>
      <c r="C17" s="2">
        <f t="shared" si="0"/>
        <v>3.7572215522688004</v>
      </c>
      <c r="D17" s="1">
        <v>-3.0883000000000002E-5</v>
      </c>
      <c r="E17" s="2">
        <f t="shared" si="1"/>
        <v>22.472890050688004</v>
      </c>
      <c r="F17" s="1">
        <v>-7.7153000000000005E-6</v>
      </c>
      <c r="G17" s="2">
        <f t="shared" si="2"/>
        <v>5.6142566657408004</v>
      </c>
      <c r="H17" s="1">
        <v>-2.3862999999999998E-5</v>
      </c>
      <c r="I17" s="2">
        <f t="shared" si="3"/>
        <v>17.364588131967999</v>
      </c>
      <c r="J17" s="1">
        <v>-3.8065000000000002E-5</v>
      </c>
      <c r="K17" s="2">
        <f t="shared" si="4"/>
        <v>27.699075859840004</v>
      </c>
      <c r="L17" s="1">
        <v>-1.1416999999999999E-5</v>
      </c>
      <c r="M17" s="2">
        <f t="shared" si="5"/>
        <v>8.307903562112001</v>
      </c>
      <c r="N17" s="17">
        <v>1.4531000000000001</v>
      </c>
    </row>
    <row r="18" spans="1:92">
      <c r="A18">
        <f t="shared" si="6"/>
        <v>760</v>
      </c>
      <c r="B18" s="1">
        <v>-4.8986E-6</v>
      </c>
      <c r="C18" s="2">
        <f t="shared" si="0"/>
        <v>3.5177023980884217</v>
      </c>
      <c r="D18" s="1">
        <v>-2.1540999999999999E-5</v>
      </c>
      <c r="E18" s="2">
        <f t="shared" si="1"/>
        <v>15.468670101094739</v>
      </c>
      <c r="F18" s="1">
        <v>-6.9108E-6</v>
      </c>
      <c r="G18" s="2">
        <f t="shared" si="2"/>
        <v>4.9626705043705268</v>
      </c>
      <c r="H18" s="1">
        <v>-4.4644000000000001E-5</v>
      </c>
      <c r="I18" s="2">
        <f t="shared" si="3"/>
        <v>32.059018058273686</v>
      </c>
      <c r="J18" s="1">
        <v>-2.5494999999999999E-5</v>
      </c>
      <c r="K18" s="2">
        <f t="shared" si="4"/>
        <v>18.308051818736843</v>
      </c>
      <c r="L18" s="1">
        <v>-1.8309999999999999E-5</v>
      </c>
      <c r="M18" s="2">
        <f t="shared" si="5"/>
        <v>13.148477301473685</v>
      </c>
      <c r="N18" s="17">
        <v>1.4529000000000001</v>
      </c>
    </row>
    <row r="19" spans="1:92">
      <c r="A19">
        <f t="shared" si="6"/>
        <v>770</v>
      </c>
      <c r="B19" s="1">
        <v>-4.7688E-6</v>
      </c>
      <c r="C19" s="2">
        <f t="shared" si="0"/>
        <v>3.3800186188799999</v>
      </c>
      <c r="D19" s="1">
        <v>-1.6554000000000001E-5</v>
      </c>
      <c r="E19" s="2">
        <f t="shared" si="1"/>
        <v>11.733104390399999</v>
      </c>
      <c r="F19" s="1">
        <v>-6.4269999999999996E-6</v>
      </c>
      <c r="G19" s="2">
        <f t="shared" si="2"/>
        <v>4.5553136351999992</v>
      </c>
      <c r="H19" s="1">
        <v>-8.6205000000000006E-5</v>
      </c>
      <c r="I19" s="2">
        <f t="shared" si="3"/>
        <v>61.100173008000006</v>
      </c>
      <c r="J19" s="1">
        <v>-1.8972999999999999E-5</v>
      </c>
      <c r="K19" s="2">
        <f t="shared" si="4"/>
        <v>13.4476374048</v>
      </c>
      <c r="L19" s="1">
        <v>-3.1609000000000002E-5</v>
      </c>
      <c r="M19" s="2">
        <f t="shared" si="5"/>
        <v>22.403751158399999</v>
      </c>
      <c r="N19" s="17">
        <v>1.4525999999999999</v>
      </c>
    </row>
    <row r="20" spans="1:92">
      <c r="A20" s="3">
        <f t="shared" si="6"/>
        <v>780</v>
      </c>
      <c r="B20" s="1">
        <v>-4.6667999999999999E-6</v>
      </c>
      <c r="C20" s="2">
        <f t="shared" si="0"/>
        <v>3.2653165946584615</v>
      </c>
      <c r="D20" s="1">
        <v>-1.3536000000000001E-5</v>
      </c>
      <c r="E20" s="2">
        <f t="shared" si="1"/>
        <v>9.4710134193230768</v>
      </c>
      <c r="F20" s="1">
        <v>-6.0674999999999999E-6</v>
      </c>
      <c r="G20" s="2">
        <f t="shared" si="2"/>
        <v>4.2453733689230768</v>
      </c>
      <c r="H20" s="1">
        <v>-1.2924E-4</v>
      </c>
      <c r="I20" s="4">
        <f t="shared" si="3"/>
        <v>90.428027062153845</v>
      </c>
      <c r="J20" s="1">
        <v>-1.5147000000000001E-5</v>
      </c>
      <c r="K20" s="2">
        <f t="shared" si="4"/>
        <v>10.598215149415386</v>
      </c>
      <c r="L20" s="1">
        <v>-5.8675999999999999E-5</v>
      </c>
      <c r="M20" s="2">
        <f t="shared" si="5"/>
        <v>41.05505196455384</v>
      </c>
      <c r="N20" s="17">
        <v>1.4523999999999999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92">
      <c r="A21">
        <f t="shared" si="6"/>
        <v>790</v>
      </c>
      <c r="B21" s="1">
        <v>-4.6256000000000002E-6</v>
      </c>
      <c r="C21" s="2">
        <f t="shared" si="0"/>
        <v>3.1955211180394936</v>
      </c>
      <c r="D21" s="1">
        <v>-1.1576000000000001E-5</v>
      </c>
      <c r="E21" s="2">
        <f t="shared" si="1"/>
        <v>7.997092801458229</v>
      </c>
      <c r="F21" s="1">
        <v>-5.8271999999999999E-6</v>
      </c>
      <c r="G21" s="2">
        <f t="shared" si="2"/>
        <v>4.0256270881701273</v>
      </c>
      <c r="H21" s="1">
        <v>-1.0132E-4</v>
      </c>
      <c r="I21" s="2">
        <f t="shared" si="3"/>
        <v>69.995287028658225</v>
      </c>
      <c r="J21" s="1">
        <v>-1.2717E-5</v>
      </c>
      <c r="K21" s="2">
        <f t="shared" si="4"/>
        <v>8.7853342394734177</v>
      </c>
      <c r="L21" s="1">
        <v>-1.0857999999999999E-4</v>
      </c>
      <c r="M21" s="2">
        <f t="shared" si="5"/>
        <v>75.0107408761519</v>
      </c>
      <c r="N21" s="17">
        <v>1.4521999999999999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92">
      <c r="A22" s="14">
        <f t="shared" si="6"/>
        <v>800</v>
      </c>
      <c r="B22" s="1">
        <v>-4.6330000000000004E-6</v>
      </c>
      <c r="C22" s="2">
        <f t="shared" si="0"/>
        <v>3.1606253725200006</v>
      </c>
      <c r="D22" s="1">
        <v>-1.0315E-5</v>
      </c>
      <c r="E22" s="2">
        <f t="shared" si="1"/>
        <v>7.0368769086000009</v>
      </c>
      <c r="F22" s="1">
        <v>-5.6933000000000002E-6</v>
      </c>
      <c r="G22" s="2">
        <f t="shared" si="2"/>
        <v>3.8839603784520005</v>
      </c>
      <c r="H22" s="1">
        <v>-6.4560999999999994E-5</v>
      </c>
      <c r="I22" s="2">
        <f t="shared" si="3"/>
        <v>44.043413484839995</v>
      </c>
      <c r="J22" s="1">
        <v>-1.117E-5</v>
      </c>
      <c r="K22" s="2">
        <f t="shared" si="4"/>
        <v>7.6201565748000002</v>
      </c>
      <c r="L22" s="1">
        <v>-1.3957999999999999E-4</v>
      </c>
      <c r="M22" s="13">
        <f t="shared" si="5"/>
        <v>95.221258255199999</v>
      </c>
      <c r="N22" s="17">
        <v>1.452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F22" s="1"/>
      <c r="AG22" s="1"/>
      <c r="AH22" s="1"/>
      <c r="AI22" s="1"/>
      <c r="AJ22" s="1"/>
      <c r="AK22" s="1"/>
      <c r="AL22" s="1"/>
      <c r="AM22" s="1"/>
    </row>
    <row r="23" spans="1:92">
      <c r="A23">
        <f t="shared" si="6"/>
        <v>810</v>
      </c>
      <c r="B23" s="1">
        <v>-4.6275000000000002E-6</v>
      </c>
      <c r="C23" s="2">
        <f t="shared" si="0"/>
        <v>3.1178995368888893</v>
      </c>
      <c r="D23" s="1">
        <v>-9.3919000000000007E-6</v>
      </c>
      <c r="E23" s="2">
        <f t="shared" si="1"/>
        <v>6.3280390406281493</v>
      </c>
      <c r="F23" s="1">
        <v>-5.5705000000000003E-6</v>
      </c>
      <c r="G23" s="2">
        <f t="shared" si="2"/>
        <v>3.7532705284148151</v>
      </c>
      <c r="H23" s="1">
        <v>-4.3581000000000002E-5</v>
      </c>
      <c r="I23" s="2">
        <f t="shared" si="3"/>
        <v>29.363842186311118</v>
      </c>
      <c r="J23" s="1">
        <v>-1.006E-5</v>
      </c>
      <c r="K23" s="2">
        <f t="shared" si="4"/>
        <v>6.7781889445925936</v>
      </c>
      <c r="L23" s="1">
        <v>-1.0108E-4</v>
      </c>
      <c r="M23" s="2">
        <f t="shared" si="5"/>
        <v>68.105302039703716</v>
      </c>
      <c r="N23" s="17">
        <v>1.4518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92">
      <c r="A24">
        <f t="shared" si="6"/>
        <v>820</v>
      </c>
      <c r="B24" s="1">
        <v>-4.6716000000000003E-6</v>
      </c>
      <c r="C24" s="2">
        <f t="shared" si="0"/>
        <v>3.1092275437112198</v>
      </c>
      <c r="D24" s="1">
        <v>-8.7315999999999995E-6</v>
      </c>
      <c r="E24" s="2">
        <f t="shared" si="1"/>
        <v>5.8113989255648777</v>
      </c>
      <c r="F24" s="1">
        <v>-5.5152000000000002E-6</v>
      </c>
      <c r="G24" s="2">
        <f t="shared" si="2"/>
        <v>3.670693498817561</v>
      </c>
      <c r="H24" s="1">
        <v>-3.1763000000000001E-5</v>
      </c>
      <c r="I24" s="2">
        <f t="shared" si="3"/>
        <v>21.140164926556096</v>
      </c>
      <c r="J24" s="1">
        <v>-9.2670999999999998E-6</v>
      </c>
      <c r="K24" s="2">
        <f t="shared" si="4"/>
        <v>6.1678060129990238</v>
      </c>
      <c r="L24" s="1">
        <v>-6.5650999999999999E-5</v>
      </c>
      <c r="M24" s="2">
        <f t="shared" si="5"/>
        <v>43.69464369213658</v>
      </c>
      <c r="N24" s="17">
        <v>1.4516</v>
      </c>
    </row>
    <row r="25" spans="1:92">
      <c r="A25">
        <f t="shared" si="6"/>
        <v>830</v>
      </c>
      <c r="B25" s="1">
        <v>-4.7295000000000002E-6</v>
      </c>
      <c r="C25" s="2">
        <f t="shared" si="0"/>
        <v>3.10983857540241</v>
      </c>
      <c r="D25" s="1">
        <v>-8.2657999999999997E-6</v>
      </c>
      <c r="E25" s="2">
        <f t="shared" si="1"/>
        <v>5.4350996292549389</v>
      </c>
      <c r="F25" s="1">
        <v>-5.4976999999999999E-6</v>
      </c>
      <c r="G25" s="2">
        <f t="shared" si="2"/>
        <v>3.6149613143016865</v>
      </c>
      <c r="H25" s="1">
        <v>-2.4827000000000001E-5</v>
      </c>
      <c r="I25" s="2">
        <f t="shared" si="3"/>
        <v>16.324762091450605</v>
      </c>
      <c r="J25" s="1">
        <v>-8.7075999999999994E-6</v>
      </c>
      <c r="K25" s="2">
        <f t="shared" si="4"/>
        <v>5.7256010950785541</v>
      </c>
      <c r="L25" s="1">
        <v>-4.5552E-5</v>
      </c>
      <c r="M25" s="2">
        <f t="shared" si="5"/>
        <v>29.952292374824097</v>
      </c>
      <c r="N25" s="17">
        <v>1.4514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92">
      <c r="A26">
        <f t="shared" si="6"/>
        <v>840</v>
      </c>
      <c r="B26" s="1">
        <v>-4.7454999999999997E-6</v>
      </c>
      <c r="C26" s="2">
        <f t="shared" si="0"/>
        <v>3.0832120923999997</v>
      </c>
      <c r="D26" s="1">
        <v>-7.8961000000000005E-6</v>
      </c>
      <c r="E26" s="2">
        <f t="shared" si="1"/>
        <v>5.1301972400800011</v>
      </c>
      <c r="F26" s="1">
        <v>-5.4558999999999997E-6</v>
      </c>
      <c r="G26" s="2">
        <f t="shared" si="2"/>
        <v>3.54476806552</v>
      </c>
      <c r="H26" s="1">
        <v>-2.0479000000000002E-5</v>
      </c>
      <c r="I26" s="2">
        <f t="shared" si="3"/>
        <v>13.305468431200001</v>
      </c>
      <c r="J26" s="1">
        <v>-8.2715000000000003E-6</v>
      </c>
      <c r="K26" s="2">
        <f t="shared" si="4"/>
        <v>5.3740994252000007</v>
      </c>
      <c r="L26" s="1">
        <v>-3.4069999999999997E-5</v>
      </c>
      <c r="M26" s="2">
        <f t="shared" si="5"/>
        <v>22.135715095999998</v>
      </c>
      <c r="N26" s="17">
        <v>1.4512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>
      <c r="A27">
        <f t="shared" si="6"/>
        <v>850</v>
      </c>
      <c r="B27" s="1">
        <v>-4.7698999999999999E-6</v>
      </c>
      <c r="C27" s="2">
        <f t="shared" si="0"/>
        <v>3.062605495488</v>
      </c>
      <c r="D27" s="1">
        <v>-7.5599000000000002E-6</v>
      </c>
      <c r="E27" s="2">
        <f t="shared" si="1"/>
        <v>4.8539783402880001</v>
      </c>
      <c r="F27" s="1">
        <v>-5.4164999999999997E-6</v>
      </c>
      <c r="G27" s="2">
        <f t="shared" si="2"/>
        <v>3.4777673884799998</v>
      </c>
      <c r="H27" s="1">
        <v>-1.7408999999999999E-5</v>
      </c>
      <c r="I27" s="2">
        <f t="shared" si="3"/>
        <v>11.17778131008</v>
      </c>
      <c r="J27" s="1">
        <v>-7.8801999999999995E-6</v>
      </c>
      <c r="K27" s="2">
        <f t="shared" si="4"/>
        <v>5.0596330794239996</v>
      </c>
      <c r="L27" s="1">
        <v>-2.6829E-5</v>
      </c>
      <c r="M27" s="2">
        <f t="shared" si="5"/>
        <v>17.226072420480001</v>
      </c>
      <c r="N27" s="17">
        <v>1.4510000000000001</v>
      </c>
    </row>
    <row r="28" spans="1:92">
      <c r="B28" s="1"/>
    </row>
    <row r="29" spans="1:92">
      <c r="B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>
      <c r="B30" s="1"/>
    </row>
    <row r="31" spans="1:92">
      <c r="B31" s="1"/>
    </row>
    <row r="32" spans="1:92">
      <c r="B32" s="1"/>
    </row>
    <row r="35" spans="10:12">
      <c r="J35" s="1"/>
      <c r="L3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65E3-21FF-42F2-833A-5ECB16ABF2D1}">
  <dimension ref="A1:BT19"/>
  <sheetViews>
    <sheetView tabSelected="1" workbookViewId="0">
      <selection activeCell="E15" sqref="E15"/>
    </sheetView>
  </sheetViews>
  <sheetFormatPr defaultRowHeight="15"/>
  <cols>
    <col min="1" max="1" width="34.7109375" style="30" customWidth="1"/>
    <col min="2" max="2" width="30.42578125" style="30" customWidth="1"/>
    <col min="3" max="3" width="24.42578125" style="30" customWidth="1"/>
    <col min="4" max="4" width="24.5703125" style="30" customWidth="1"/>
    <col min="5" max="5" width="20.140625" style="30" customWidth="1"/>
    <col min="6" max="16384" width="9.140625" style="30"/>
  </cols>
  <sheetData>
    <row r="1" spans="1:72" s="18" customFormat="1">
      <c r="A1" s="25" t="s">
        <v>16</v>
      </c>
      <c r="B1" s="34" t="s">
        <v>17</v>
      </c>
      <c r="C1" s="33" t="s">
        <v>18</v>
      </c>
      <c r="D1" s="33" t="s">
        <v>19</v>
      </c>
      <c r="E1" s="33" t="s">
        <v>20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28"/>
    </row>
    <row r="2" spans="1:72" s="19" customFormat="1">
      <c r="A2" s="26" t="s">
        <v>21</v>
      </c>
      <c r="B2" s="35" t="s">
        <v>22</v>
      </c>
      <c r="C2" s="23">
        <v>3150</v>
      </c>
      <c r="D2" s="23">
        <v>622.98</v>
      </c>
      <c r="E2" s="23">
        <v>3.17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23"/>
    </row>
    <row r="3" spans="1:72" s="21" customFormat="1">
      <c r="A3" s="24" t="s">
        <v>23</v>
      </c>
      <c r="B3" s="21" t="s">
        <v>22</v>
      </c>
      <c r="C3" s="20">
        <v>3000</v>
      </c>
      <c r="D3" s="20">
        <v>316</v>
      </c>
      <c r="E3" s="20">
        <v>3.33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20"/>
    </row>
    <row r="4" spans="1:72" s="21" customFormat="1">
      <c r="A4" s="24" t="s">
        <v>24</v>
      </c>
      <c r="B4" s="21" t="s">
        <v>22</v>
      </c>
      <c r="C4" s="20">
        <v>3150</v>
      </c>
      <c r="D4" s="20">
        <v>625</v>
      </c>
      <c r="E4" s="20">
        <v>3.2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20"/>
    </row>
    <row r="5" spans="1:72" s="21" customFormat="1">
      <c r="A5" s="24" t="s">
        <v>25</v>
      </c>
      <c r="B5" s="21" t="s">
        <v>22</v>
      </c>
      <c r="C5" s="20" t="s">
        <v>26</v>
      </c>
      <c r="D5" s="20">
        <v>83</v>
      </c>
      <c r="E5" s="20">
        <v>2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20"/>
    </row>
    <row r="6" spans="1:72" s="21" customFormat="1">
      <c r="A6" s="24" t="s">
        <v>27</v>
      </c>
      <c r="B6" s="21" t="s">
        <v>22</v>
      </c>
      <c r="C6" s="20">
        <v>2500</v>
      </c>
      <c r="D6" s="20">
        <v>259.43</v>
      </c>
      <c r="E6" s="20">
        <v>4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20"/>
    </row>
    <row r="7" spans="1:72" s="21" customFormat="1">
      <c r="A7" s="24" t="s">
        <v>28</v>
      </c>
      <c r="B7" s="22" t="s">
        <v>22</v>
      </c>
      <c r="C7" s="20">
        <v>1500</v>
      </c>
      <c r="D7" s="20">
        <v>447.97</v>
      </c>
      <c r="E7" s="20">
        <v>6.7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20"/>
    </row>
    <row r="8" spans="1:72" s="19" customFormat="1">
      <c r="A8" s="26" t="s">
        <v>21</v>
      </c>
      <c r="B8" s="35" t="s">
        <v>29</v>
      </c>
      <c r="C8" s="23">
        <v>4125</v>
      </c>
      <c r="D8" s="23">
        <v>844.9</v>
      </c>
      <c r="E8" s="23">
        <v>2.42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23"/>
    </row>
    <row r="9" spans="1:72" s="21" customFormat="1">
      <c r="A9" s="24" t="s">
        <v>23</v>
      </c>
      <c r="B9" s="21" t="s">
        <v>29</v>
      </c>
      <c r="C9" s="20">
        <v>3333.33</v>
      </c>
      <c r="D9" s="20">
        <v>704.82</v>
      </c>
      <c r="E9" s="20">
        <v>3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20"/>
    </row>
    <row r="10" spans="1:72" s="21" customFormat="1">
      <c r="A10" s="24" t="s">
        <v>24</v>
      </c>
      <c r="B10" s="21" t="s">
        <v>29</v>
      </c>
      <c r="C10" s="20">
        <v>4333.33</v>
      </c>
      <c r="D10" s="20">
        <v>757</v>
      </c>
      <c r="E10" s="20">
        <v>2.2999999999999998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20"/>
    </row>
    <row r="11" spans="1:72" s="21" customFormat="1">
      <c r="A11" s="24" t="s">
        <v>25</v>
      </c>
      <c r="B11" s="21" t="s">
        <v>29</v>
      </c>
      <c r="C11" s="20" t="s">
        <v>26</v>
      </c>
      <c r="D11" s="20">
        <v>166.7</v>
      </c>
      <c r="E11" s="20">
        <v>1.5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20"/>
    </row>
    <row r="12" spans="1:72" s="21" customFormat="1">
      <c r="A12" s="24" t="s">
        <v>27</v>
      </c>
      <c r="B12" s="21" t="s">
        <v>29</v>
      </c>
      <c r="C12" s="20">
        <v>3750</v>
      </c>
      <c r="D12" s="20">
        <v>480.58</v>
      </c>
      <c r="E12" s="20">
        <v>2.67</v>
      </c>
      <c r="F12" s="30"/>
      <c r="G12" s="30"/>
      <c r="H12" s="30"/>
      <c r="I12" s="30"/>
      <c r="J12" s="30"/>
      <c r="K12" s="32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20"/>
    </row>
    <row r="13" spans="1:72" s="21" customFormat="1">
      <c r="A13" s="24" t="s">
        <v>28</v>
      </c>
      <c r="B13" s="22" t="s">
        <v>29</v>
      </c>
      <c r="C13" s="20">
        <v>1666.67</v>
      </c>
      <c r="D13" s="20">
        <v>1058.03</v>
      </c>
      <c r="E13" s="20">
        <v>6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20"/>
    </row>
    <row r="14" spans="1:72" s="19" customFormat="1">
      <c r="A14" s="26" t="s">
        <v>21</v>
      </c>
      <c r="B14" s="35" t="s">
        <v>30</v>
      </c>
      <c r="C14" s="23">
        <v>5071.43</v>
      </c>
      <c r="D14" s="23">
        <v>821.15</v>
      </c>
      <c r="E14" s="23">
        <v>1.97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23"/>
    </row>
    <row r="15" spans="1:72" s="21" customFormat="1">
      <c r="A15" s="24" t="s">
        <v>23</v>
      </c>
      <c r="B15" s="21" t="s">
        <v>30</v>
      </c>
      <c r="C15" s="20">
        <v>4285.72</v>
      </c>
      <c r="D15" s="20">
        <v>750</v>
      </c>
      <c r="E15" s="20">
        <v>2.33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20"/>
    </row>
    <row r="16" spans="1:72" s="21" customFormat="1">
      <c r="A16" s="24" t="s">
        <v>24</v>
      </c>
      <c r="B16" s="21" t="s">
        <v>30</v>
      </c>
      <c r="C16" s="20">
        <v>5500</v>
      </c>
      <c r="D16" s="20">
        <v>399</v>
      </c>
      <c r="E16" s="20">
        <v>1.8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20"/>
    </row>
    <row r="17" spans="1:72" s="21" customFormat="1">
      <c r="A17" s="24" t="s">
        <v>25</v>
      </c>
      <c r="B17" s="21" t="s">
        <v>30</v>
      </c>
      <c r="C17" s="20" t="s">
        <v>26</v>
      </c>
      <c r="D17" s="20">
        <v>245.5</v>
      </c>
      <c r="E17" s="20">
        <v>14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20"/>
    </row>
    <row r="18" spans="1:72" s="21" customFormat="1">
      <c r="A18" s="24" t="s">
        <v>27</v>
      </c>
      <c r="B18" s="21" t="s">
        <v>30</v>
      </c>
      <c r="C18" s="20">
        <v>4285.71</v>
      </c>
      <c r="D18" s="20">
        <v>433.71</v>
      </c>
      <c r="E18" s="20">
        <v>2.33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20"/>
    </row>
    <row r="19" spans="1:72" s="21" customFormat="1">
      <c r="A19" s="27" t="s">
        <v>28</v>
      </c>
      <c r="B19" s="22" t="s">
        <v>30</v>
      </c>
      <c r="C19" s="29">
        <v>1428.57</v>
      </c>
      <c r="D19" s="29">
        <v>9</v>
      </c>
      <c r="E19" s="29">
        <v>7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93AB-3F21-45CF-9B6A-8337ED52ABEF}">
  <dimension ref="A1:AS32"/>
  <sheetViews>
    <sheetView workbookViewId="0">
      <selection activeCell="S5" sqref="S5"/>
    </sheetView>
  </sheetViews>
  <sheetFormatPr defaultRowHeight="15"/>
  <cols>
    <col min="1" max="1" width="11.28515625" customWidth="1"/>
    <col min="2" max="2" width="17.5703125" customWidth="1"/>
    <col min="3" max="3" width="15.85546875" style="2" customWidth="1"/>
    <col min="4" max="4" width="20.7109375" customWidth="1"/>
    <col min="5" max="5" width="16.42578125" style="2" customWidth="1"/>
    <col min="6" max="6" width="18.140625" customWidth="1"/>
    <col min="7" max="7" width="15.42578125" style="2" customWidth="1"/>
    <col min="8" max="8" width="20" customWidth="1"/>
    <col min="9" max="9" width="15.85546875" style="2" customWidth="1"/>
    <col min="10" max="10" width="16.28515625" customWidth="1"/>
    <col min="11" max="11" width="18.5703125" customWidth="1"/>
    <col min="12" max="12" width="17.140625" customWidth="1"/>
    <col min="13" max="13" width="16" customWidth="1"/>
    <col min="14" max="14" width="16.140625" customWidth="1"/>
    <col min="15" max="15" width="13.28515625" style="2" customWidth="1"/>
    <col min="16" max="16" width="14.42578125" customWidth="1"/>
    <col min="17" max="17" width="15.28515625" style="2" customWidth="1"/>
    <col min="18" max="18" width="14.140625" customWidth="1"/>
    <col min="19" max="19" width="14.5703125" customWidth="1"/>
  </cols>
  <sheetData>
    <row r="1" spans="1:45">
      <c r="A1" t="s">
        <v>0</v>
      </c>
      <c r="B1" t="s">
        <v>31</v>
      </c>
      <c r="C1" s="2" t="s">
        <v>32</v>
      </c>
      <c r="D1" t="s">
        <v>33</v>
      </c>
      <c r="E1" s="2" t="s">
        <v>34</v>
      </c>
      <c r="F1" t="s">
        <v>35</v>
      </c>
      <c r="G1" s="2" t="s">
        <v>36</v>
      </c>
      <c r="H1" t="s">
        <v>37</v>
      </c>
      <c r="I1" s="2" t="s">
        <v>38</v>
      </c>
      <c r="J1" t="s">
        <v>39</v>
      </c>
      <c r="K1" s="2" t="s">
        <v>40</v>
      </c>
      <c r="L1" t="s">
        <v>41</v>
      </c>
      <c r="M1" s="2" t="s">
        <v>42</v>
      </c>
      <c r="N1" t="s">
        <v>43</v>
      </c>
      <c r="O1" s="2" t="s">
        <v>44</v>
      </c>
      <c r="P1" t="s">
        <v>45</v>
      </c>
      <c r="Q1" s="2" t="s">
        <v>46</v>
      </c>
      <c r="R1" t="s">
        <v>47</v>
      </c>
      <c r="S1" t="s">
        <v>48</v>
      </c>
    </row>
    <row r="2" spans="1:45">
      <c r="A2">
        <v>600</v>
      </c>
      <c r="B2" s="1">
        <v>-6.6810999999999994E-5</v>
      </c>
      <c r="C2" s="2">
        <f>-8.686*2*3.1416*(B2)/((A2)*10^-7)</f>
        <v>60.771146633119997</v>
      </c>
      <c r="D2" s="1">
        <v>-1.0253E-5</v>
      </c>
      <c r="E2" s="2">
        <f>-8.686*2*3.1416*(D2)/((A2)*10^-7)</f>
        <v>9.3261074737600005</v>
      </c>
      <c r="F2" s="1">
        <v>-8.8428999999999996E-6</v>
      </c>
      <c r="G2" s="2">
        <f>-8.686*2*3.1416*(F2)/((A2)*10^-7)</f>
        <v>8.0434834467680005</v>
      </c>
      <c r="H2" s="1">
        <v>-3.0153000000000002E-6</v>
      </c>
      <c r="I2" s="2">
        <f>-8.686*2*3.1416*(H2)/((A2)*10^-7)</f>
        <v>2.7427106081760004</v>
      </c>
      <c r="J2" s="1">
        <v>-3.3380000000000001E-6</v>
      </c>
      <c r="K2" s="2">
        <f>-8.686*2*3.1416*(J2)/((A2)*10^-7)</f>
        <v>3.0362378569600001</v>
      </c>
      <c r="L2" s="1">
        <v>-1.776E-6</v>
      </c>
      <c r="M2" s="2">
        <f>-8.686*2*3.1416*(L2)/((A2)*10^-7)</f>
        <v>1.6154459059200001</v>
      </c>
      <c r="N2" s="1">
        <v>-2.0099999999999998E-6</v>
      </c>
      <c r="O2" s="2">
        <f>-8.686*2*3.1416*(N2)/((A2)*10^-7)</f>
        <v>1.8282918191999999</v>
      </c>
      <c r="P2" s="1">
        <v>-1.4470000000000001E-6</v>
      </c>
      <c r="Q2" s="2">
        <f>-8.686*2*3.1416*(P2)/((A2)*10^-7)</f>
        <v>1.3161881902400001</v>
      </c>
      <c r="R2">
        <v>30</v>
      </c>
      <c r="S2">
        <v>2500</v>
      </c>
    </row>
    <row r="3" spans="1:45">
      <c r="A3">
        <f>A2+10</f>
        <v>610</v>
      </c>
      <c r="B3" s="1">
        <v>-1.3192E-4</v>
      </c>
      <c r="C3" s="2">
        <f t="shared" ref="C3:C27" si="0">-8.686*2*3.1416*(B3)/((A3)*10^-7)</f>
        <v>118.02704026859017</v>
      </c>
      <c r="D3" s="1">
        <v>-1.3723999999999999E-5</v>
      </c>
      <c r="E3" s="2">
        <f t="shared" ref="E3:E27" si="1">-8.686*2*3.1416*(D3)/((A3)*10^-7)</f>
        <v>12.278677233521311</v>
      </c>
      <c r="F3" s="1">
        <v>-1.3497E-5</v>
      </c>
      <c r="G3" s="2">
        <f t="shared" ref="G3:G27" si="2">-8.686*2*3.1416*(F3)/((A3)*10^-7)</f>
        <v>12.075583402859017</v>
      </c>
      <c r="H3" s="1">
        <v>-3.4112999999999998E-6</v>
      </c>
      <c r="I3" s="2">
        <f t="shared" ref="I3:I27" si="3">-8.686*2*3.1416*(H3)/((A3)*10^-7)</f>
        <v>3.0520439847501639</v>
      </c>
      <c r="J3" s="1">
        <v>-4.2942999999999997E-6</v>
      </c>
      <c r="K3" s="2">
        <f t="shared" ref="K3:K27" si="4">-8.686*2*3.1416*(J3)/((A3)*10^-7)</f>
        <v>3.842052145432131</v>
      </c>
      <c r="L3" s="1">
        <v>-1.8359000000000001E-6</v>
      </c>
      <c r="M3" s="2">
        <f t="shared" ref="M3:M27" si="5">-8.686*2*3.1416*(L3)/((A3)*10^-7)</f>
        <v>1.6425549062242624</v>
      </c>
      <c r="N3" s="1">
        <v>-2.2832E-6</v>
      </c>
      <c r="O3" s="2">
        <f t="shared" ref="O3:O27" si="6">-8.686*2*3.1416*(N3)/((A3)*10^-7)</f>
        <v>2.0427481681416393</v>
      </c>
      <c r="P3" s="1">
        <v>-1.4233E-6</v>
      </c>
      <c r="Q3" s="2">
        <f t="shared" ref="Q3:Q27" si="7">-8.686*2*3.1416*(P3)/((A3)*10^-7)</f>
        <v>1.2734072651173771</v>
      </c>
      <c r="R3">
        <v>40</v>
      </c>
      <c r="S3">
        <v>3000</v>
      </c>
    </row>
    <row r="4" spans="1:45">
      <c r="A4">
        <f t="shared" ref="A4:A32" si="8">A3+10</f>
        <v>620</v>
      </c>
      <c r="B4" s="1">
        <v>-1.3908E-4</v>
      </c>
      <c r="C4" s="2">
        <f t="shared" si="0"/>
        <v>122.42601165832258</v>
      </c>
      <c r="D4" s="1">
        <v>-1.9497999999999999E-5</v>
      </c>
      <c r="E4" s="2">
        <f t="shared" si="1"/>
        <v>17.163232494348382</v>
      </c>
      <c r="F4" s="1">
        <v>-2.3048E-5</v>
      </c>
      <c r="G4" s="2">
        <f t="shared" si="2"/>
        <v>20.288141477574193</v>
      </c>
      <c r="H4" s="1">
        <v>-3.9995000000000004E-6</v>
      </c>
      <c r="I4" s="2">
        <f t="shared" si="3"/>
        <v>3.5205840784258067</v>
      </c>
      <c r="J4" s="1">
        <v>-6.0487000000000002E-6</v>
      </c>
      <c r="K4" s="2">
        <f t="shared" si="4"/>
        <v>5.3244047793909672</v>
      </c>
      <c r="L4" s="1">
        <v>-1.9454E-6</v>
      </c>
      <c r="M4" s="2">
        <f t="shared" si="5"/>
        <v>1.7124501228077418</v>
      </c>
      <c r="N4" s="1">
        <v>-2.7976000000000001E-6</v>
      </c>
      <c r="O4" s="2">
        <f t="shared" si="6"/>
        <v>2.4626043299922582</v>
      </c>
      <c r="P4" s="1">
        <v>-1.4193999999999999E-6</v>
      </c>
      <c r="Q4" s="2">
        <f t="shared" si="7"/>
        <v>1.2494354396593548</v>
      </c>
      <c r="R4">
        <v>50</v>
      </c>
      <c r="S4">
        <v>3000</v>
      </c>
    </row>
    <row r="5" spans="1:45">
      <c r="A5">
        <f t="shared" si="8"/>
        <v>630</v>
      </c>
      <c r="B5" s="1">
        <v>-8.0154999999999994E-5</v>
      </c>
      <c r="C5" s="2">
        <f t="shared" si="0"/>
        <v>69.436972645333327</v>
      </c>
      <c r="D5" s="1">
        <v>-2.9391999999999999E-5</v>
      </c>
      <c r="E5" s="2">
        <f t="shared" si="1"/>
        <v>25.461811490133332</v>
      </c>
      <c r="F5" s="1">
        <v>-4.2935000000000001E-5</v>
      </c>
      <c r="G5" s="2">
        <f t="shared" si="2"/>
        <v>37.193892090666665</v>
      </c>
      <c r="H5" s="1">
        <v>-4.8712E-6</v>
      </c>
      <c r="I5" s="2">
        <f t="shared" si="3"/>
        <v>4.2198413218133339</v>
      </c>
      <c r="J5" s="1">
        <v>-9.3048999999999996E-6</v>
      </c>
      <c r="K5" s="2">
        <f t="shared" si="4"/>
        <v>8.0606835102933321</v>
      </c>
      <c r="L5" s="1">
        <v>-2.1353000000000001E-6</v>
      </c>
      <c r="M5" s="2">
        <f t="shared" si="5"/>
        <v>1.8497756557866667</v>
      </c>
      <c r="N5" s="1">
        <v>-3.7446999999999999E-6</v>
      </c>
      <c r="O5" s="2">
        <f t="shared" si="6"/>
        <v>3.2439726962133331</v>
      </c>
      <c r="P5" s="1">
        <v>-1.4554000000000001E-6</v>
      </c>
      <c r="Q5" s="2">
        <f t="shared" si="7"/>
        <v>1.2607893454933334</v>
      </c>
      <c r="R5">
        <v>60</v>
      </c>
      <c r="S5">
        <v>3000</v>
      </c>
    </row>
    <row r="6" spans="1:45">
      <c r="A6">
        <f t="shared" si="8"/>
        <v>640</v>
      </c>
      <c r="B6" s="1">
        <v>-4.5785999999999998E-5</v>
      </c>
      <c r="C6" s="2">
        <f t="shared" si="0"/>
        <v>39.043922217299993</v>
      </c>
      <c r="D6" s="1">
        <v>-4.8778E-5</v>
      </c>
      <c r="E6" s="2">
        <f t="shared" si="1"/>
        <v>41.595344382899995</v>
      </c>
      <c r="F6" s="1">
        <v>-8.4295000000000005E-5</v>
      </c>
      <c r="G6" s="2">
        <f t="shared" si="2"/>
        <v>71.88239687475</v>
      </c>
      <c r="H6" s="1">
        <v>-6.1859000000000004E-6</v>
      </c>
      <c r="I6" s="2">
        <f t="shared" si="3"/>
        <v>5.2750141624950002</v>
      </c>
      <c r="J6" s="1">
        <v>-1.6347000000000001E-5</v>
      </c>
      <c r="K6" s="2">
        <f t="shared" si="4"/>
        <v>13.939872373350001</v>
      </c>
      <c r="L6" s="1">
        <v>-2.4115000000000001E-6</v>
      </c>
      <c r="M6" s="2">
        <f t="shared" si="5"/>
        <v>2.0564019225750001</v>
      </c>
      <c r="N6" s="1">
        <v>-5.6756000000000003E-6</v>
      </c>
      <c r="O6" s="2">
        <f t="shared" si="6"/>
        <v>4.8398568325800007</v>
      </c>
      <c r="P6" s="1">
        <v>-1.5153999999999999E-6</v>
      </c>
      <c r="Q6" s="2">
        <f t="shared" si="7"/>
        <v>1.2922543949700001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>
        <f t="shared" si="8"/>
        <v>650</v>
      </c>
      <c r="B7" s="1">
        <v>-2.8211000000000001E-5</v>
      </c>
      <c r="C7" s="2">
        <f t="shared" si="0"/>
        <v>23.686769465649231</v>
      </c>
      <c r="D7" s="1">
        <v>-9.2832999999999997E-5</v>
      </c>
      <c r="E7" s="2">
        <f t="shared" si="1"/>
        <v>77.945264960640003</v>
      </c>
      <c r="F7" s="1">
        <v>-9.8713000000000002E-5</v>
      </c>
      <c r="G7" s="2">
        <f t="shared" si="2"/>
        <v>82.88228259411693</v>
      </c>
      <c r="H7" s="1">
        <v>-8.2765999999999997E-6</v>
      </c>
      <c r="I7" s="2">
        <f t="shared" si="3"/>
        <v>6.9492721335433849</v>
      </c>
      <c r="J7" s="1">
        <v>-3.2991999999999999E-5</v>
      </c>
      <c r="K7" s="2">
        <f t="shared" si="4"/>
        <v>27.701034993821541</v>
      </c>
      <c r="L7" s="1">
        <v>-2.8256000000000001E-6</v>
      </c>
      <c r="M7" s="2">
        <f t="shared" si="5"/>
        <v>2.3724552763864617</v>
      </c>
      <c r="N7" s="1">
        <v>-1.0151E-5</v>
      </c>
      <c r="O7" s="2">
        <f t="shared" si="6"/>
        <v>8.523072448541539</v>
      </c>
      <c r="P7" s="1">
        <v>-1.6139999999999999E-6</v>
      </c>
      <c r="Q7" s="2">
        <f t="shared" si="7"/>
        <v>1.3551609626584615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>
        <f t="shared" si="8"/>
        <v>660</v>
      </c>
      <c r="B8" s="1">
        <v>-1.8717000000000001E-5</v>
      </c>
      <c r="C8" s="2">
        <f t="shared" si="0"/>
        <v>15.477222062400003</v>
      </c>
      <c r="D8" s="1">
        <v>-2.1515999999999999E-4</v>
      </c>
      <c r="E8" s="2">
        <f t="shared" si="1"/>
        <v>177.917353152</v>
      </c>
      <c r="F8" s="1">
        <v>-5.4388999999999997E-5</v>
      </c>
      <c r="G8" s="2">
        <f t="shared" si="2"/>
        <v>44.974655700800007</v>
      </c>
      <c r="H8" s="1">
        <v>-1.1902000000000001E-5</v>
      </c>
      <c r="I8" s="2">
        <f t="shared" si="3"/>
        <v>9.8418494944000017</v>
      </c>
      <c r="J8" s="1">
        <v>-5.6886999999999999E-5</v>
      </c>
      <c r="K8" s="2">
        <f t="shared" si="4"/>
        <v>47.040269886400004</v>
      </c>
      <c r="L8" s="1">
        <v>-3.4873000000000001E-6</v>
      </c>
      <c r="M8" s="2">
        <f t="shared" si="5"/>
        <v>2.8836734785600004</v>
      </c>
      <c r="N8" s="1">
        <v>-2.0744999999999999E-5</v>
      </c>
      <c r="O8" s="2">
        <f t="shared" si="6"/>
        <v>17.154189863999999</v>
      </c>
      <c r="P8" s="1">
        <v>-1.7848E-6</v>
      </c>
      <c r="Q8" s="2">
        <f t="shared" si="7"/>
        <v>1.4758639705600003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45">
      <c r="A9">
        <f t="shared" si="8"/>
        <v>670</v>
      </c>
      <c r="B9" s="1">
        <v>-1.4693E-5</v>
      </c>
      <c r="C9" s="2">
        <f t="shared" si="0"/>
        <v>11.96840797482985</v>
      </c>
      <c r="D9" s="1">
        <v>-3.7204000000000002E-4</v>
      </c>
      <c r="E9" s="2">
        <f t="shared" si="1"/>
        <v>303.05087476728357</v>
      </c>
      <c r="F9" s="1">
        <v>-3.1612999999999997E-5</v>
      </c>
      <c r="G9" s="2">
        <f t="shared" si="2"/>
        <v>25.750852876083577</v>
      </c>
      <c r="H9" s="1">
        <v>-1.9556999999999999E-5</v>
      </c>
      <c r="I9" s="2">
        <f t="shared" si="3"/>
        <v>15.930453601289551</v>
      </c>
      <c r="J9" s="1">
        <v>-4.231E-5</v>
      </c>
      <c r="K9" s="2">
        <f t="shared" si="4"/>
        <v>34.46425790614925</v>
      </c>
      <c r="L9" s="1">
        <v>-4.8740999999999996E-6</v>
      </c>
      <c r="M9" s="2">
        <f t="shared" si="5"/>
        <v>3.9702727360047754</v>
      </c>
      <c r="N9" s="1">
        <v>-2.7086000000000001E-5</v>
      </c>
      <c r="O9" s="2">
        <f t="shared" si="6"/>
        <v>22.063315756226867</v>
      </c>
      <c r="P9" s="1">
        <v>-2.2363999999999999E-6</v>
      </c>
      <c r="Q9" s="2">
        <f t="shared" si="7"/>
        <v>1.8216938402579104</v>
      </c>
    </row>
    <row r="10" spans="1:45">
      <c r="A10">
        <f t="shared" si="8"/>
        <v>680</v>
      </c>
      <c r="B10" s="1">
        <v>-1.2065000000000001E-5</v>
      </c>
      <c r="C10" s="2">
        <f t="shared" si="0"/>
        <v>9.6832049160000011</v>
      </c>
      <c r="D10" s="1">
        <v>-1.3206000000000001E-4</v>
      </c>
      <c r="E10" s="2">
        <f t="shared" si="1"/>
        <v>105.989559984</v>
      </c>
      <c r="F10" s="1">
        <v>-2.0740000000000001E-5</v>
      </c>
      <c r="G10" s="2">
        <f t="shared" si="2"/>
        <v>16.645641936000001</v>
      </c>
      <c r="H10" s="1">
        <v>-3.5818000000000002E-5</v>
      </c>
      <c r="I10" s="2">
        <f t="shared" si="3"/>
        <v>28.7470396752</v>
      </c>
      <c r="J10" s="1">
        <v>-2.4430000000000002E-5</v>
      </c>
      <c r="K10" s="2">
        <f t="shared" si="4"/>
        <v>19.607185751999999</v>
      </c>
      <c r="L10" s="1">
        <v>-7.3390000000000004E-6</v>
      </c>
      <c r="M10" s="2">
        <f t="shared" si="5"/>
        <v>5.8901815896</v>
      </c>
      <c r="N10" s="1">
        <v>-1.8698999999999998E-5</v>
      </c>
      <c r="O10" s="2">
        <f t="shared" si="6"/>
        <v>15.007563093599998</v>
      </c>
      <c r="P10" s="1">
        <v>-2.9851999999999998E-6</v>
      </c>
      <c r="Q10" s="2">
        <f t="shared" si="7"/>
        <v>2.3958809212799999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45">
      <c r="A11">
        <f t="shared" si="8"/>
        <v>690</v>
      </c>
      <c r="B11" s="1">
        <v>-1.0253E-5</v>
      </c>
      <c r="C11" s="2">
        <f t="shared" si="0"/>
        <v>8.109658672834783</v>
      </c>
      <c r="D11" s="1">
        <v>-7.3403000000000002E-5</v>
      </c>
      <c r="E11" s="2">
        <f t="shared" si="1"/>
        <v>58.058448801530439</v>
      </c>
      <c r="F11" s="1">
        <v>-1.4965E-5</v>
      </c>
      <c r="G11" s="2">
        <f t="shared" si="2"/>
        <v>11.836637280695653</v>
      </c>
      <c r="H11" s="1">
        <v>-7.5468000000000003E-5</v>
      </c>
      <c r="I11" s="2">
        <f t="shared" si="3"/>
        <v>59.691770283965226</v>
      </c>
      <c r="J11" s="1">
        <v>-1.5308999999999999E-5</v>
      </c>
      <c r="K11" s="2">
        <f t="shared" si="4"/>
        <v>12.108725701982609</v>
      </c>
      <c r="L11" s="1">
        <v>-1.2143999999999999E-5</v>
      </c>
      <c r="M11" s="2">
        <f t="shared" si="5"/>
        <v>9.6053540351999995</v>
      </c>
      <c r="N11" s="1">
        <v>-1.1384E-5</v>
      </c>
      <c r="O11" s="2">
        <f t="shared" si="6"/>
        <v>9.0042284532869576</v>
      </c>
      <c r="P11" s="1">
        <v>-4.3340999999999997E-6</v>
      </c>
      <c r="Q11" s="2">
        <f t="shared" si="7"/>
        <v>3.428076821801739</v>
      </c>
    </row>
    <row r="12" spans="1:45" ht="14.25" customHeight="1">
      <c r="A12">
        <f t="shared" si="8"/>
        <v>700</v>
      </c>
      <c r="B12" s="1">
        <v>-8.9499000000000005E-6</v>
      </c>
      <c r="C12" s="2">
        <f t="shared" si="0"/>
        <v>6.9778375064640006</v>
      </c>
      <c r="D12" s="1">
        <v>-4.6867999999999999E-5</v>
      </c>
      <c r="E12" s="2">
        <f t="shared" si="1"/>
        <v>36.540887412480004</v>
      </c>
      <c r="F12" s="1">
        <v>-1.1575E-5</v>
      </c>
      <c r="G12" s="2">
        <f t="shared" si="2"/>
        <v>9.0245107920000009</v>
      </c>
      <c r="H12" s="1">
        <v>-1.8071999999999999E-4</v>
      </c>
      <c r="I12" s="2">
        <f t="shared" si="3"/>
        <v>140.8993166592</v>
      </c>
      <c r="J12" s="1">
        <v>-1.0679999999999999E-5</v>
      </c>
      <c r="K12" s="2">
        <f t="shared" si="4"/>
        <v>8.3267192447999996</v>
      </c>
      <c r="L12" s="1">
        <v>-2.2739999999999999E-5</v>
      </c>
      <c r="M12" s="2">
        <f t="shared" si="5"/>
        <v>17.729362886400001</v>
      </c>
      <c r="N12" s="1">
        <v>-7.6239E-6</v>
      </c>
      <c r="O12" s="2">
        <f t="shared" si="6"/>
        <v>5.944014499104</v>
      </c>
      <c r="P12" s="1">
        <v>-7.0261999999999997E-6</v>
      </c>
      <c r="Q12" s="2">
        <f t="shared" si="7"/>
        <v>5.4780144904320007</v>
      </c>
    </row>
    <row r="13" spans="1:45">
      <c r="A13">
        <f t="shared" si="8"/>
        <v>710</v>
      </c>
      <c r="B13" s="1">
        <v>-8.1482999999999996E-6</v>
      </c>
      <c r="C13" s="2">
        <f t="shared" si="0"/>
        <v>6.2633887872135219</v>
      </c>
      <c r="D13" s="1">
        <v>-3.379E-5</v>
      </c>
      <c r="E13" s="2">
        <f t="shared" si="1"/>
        <v>25.973504549408453</v>
      </c>
      <c r="F13" s="1">
        <v>-9.6429000000000005E-6</v>
      </c>
      <c r="G13" s="2">
        <f t="shared" si="2"/>
        <v>7.4122493938884508</v>
      </c>
      <c r="H13" s="1">
        <v>-1.85E-4</v>
      </c>
      <c r="I13" s="2">
        <f t="shared" si="3"/>
        <v>142.20474523943662</v>
      </c>
      <c r="J13" s="1">
        <v>-8.3080999999999993E-6</v>
      </c>
      <c r="K13" s="2">
        <f t="shared" si="4"/>
        <v>6.3862229401284507</v>
      </c>
      <c r="L13" s="1">
        <v>-4.7571000000000002E-5</v>
      </c>
      <c r="M13" s="2">
        <f t="shared" si="5"/>
        <v>36.566605058298599</v>
      </c>
      <c r="N13" s="1">
        <v>-5.7934999999999997E-6</v>
      </c>
      <c r="O13" s="2">
        <f t="shared" si="6"/>
        <v>4.4533145488901411</v>
      </c>
      <c r="P13" s="1">
        <v>-1.293E-5</v>
      </c>
      <c r="Q13" s="2">
        <f t="shared" si="7"/>
        <v>9.9389586807887333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45">
      <c r="A14">
        <f t="shared" si="8"/>
        <v>720</v>
      </c>
      <c r="B14" s="1">
        <v>-7.6693999999999998E-6</v>
      </c>
      <c r="C14" s="2">
        <f t="shared" si="0"/>
        <v>5.8133919063733321</v>
      </c>
      <c r="D14" s="1">
        <v>-2.658E-5</v>
      </c>
      <c r="E14" s="2">
        <f t="shared" si="1"/>
        <v>20.147593927999999</v>
      </c>
      <c r="F14" s="1">
        <v>-8.4932000000000003E-6</v>
      </c>
      <c r="G14" s="2">
        <f t="shared" si="2"/>
        <v>6.4378308784533331</v>
      </c>
      <c r="H14" s="1">
        <v>-9.5006000000000005E-5</v>
      </c>
      <c r="I14" s="2">
        <f t="shared" si="3"/>
        <v>72.014383322933327</v>
      </c>
      <c r="J14" s="1">
        <v>-6.9856999999999999E-6</v>
      </c>
      <c r="K14" s="2">
        <f t="shared" si="4"/>
        <v>5.2951484914533333</v>
      </c>
      <c r="L14" s="1">
        <v>-8.9227000000000005E-5</v>
      </c>
      <c r="M14" s="2">
        <f t="shared" si="5"/>
        <v>67.633911339866671</v>
      </c>
      <c r="N14" s="1">
        <v>-4.8262999999999999E-6</v>
      </c>
      <c r="O14" s="2">
        <f t="shared" si="6"/>
        <v>3.6583270344133334</v>
      </c>
      <c r="P14" s="1">
        <v>-2.5700000000000001E-5</v>
      </c>
      <c r="Q14" s="2">
        <f t="shared" si="7"/>
        <v>19.480555453333331</v>
      </c>
    </row>
    <row r="15" spans="1:45">
      <c r="A15">
        <f t="shared" si="8"/>
        <v>730</v>
      </c>
      <c r="B15" s="1">
        <v>-7.3127999999999997E-6</v>
      </c>
      <c r="C15" s="2">
        <f t="shared" si="0"/>
        <v>5.4671569885282194</v>
      </c>
      <c r="D15" s="1">
        <v>-2.1954999999999999E-5</v>
      </c>
      <c r="E15" s="2">
        <f t="shared" si="1"/>
        <v>16.413881370082191</v>
      </c>
      <c r="F15" s="1">
        <v>-7.6868999999999992E-6</v>
      </c>
      <c r="G15" s="2">
        <f t="shared" si="2"/>
        <v>5.746839658559999</v>
      </c>
      <c r="H15" s="1">
        <v>-5.5723000000000002E-5</v>
      </c>
      <c r="I15" s="2">
        <f t="shared" si="3"/>
        <v>41.659335531090413</v>
      </c>
      <c r="J15" s="1">
        <v>-6.1342999999999999E-6</v>
      </c>
      <c r="K15" s="2">
        <f t="shared" si="4"/>
        <v>4.5860930306761638</v>
      </c>
      <c r="L15" s="1">
        <v>-8.2640999999999997E-5</v>
      </c>
      <c r="M15" s="2">
        <f t="shared" si="5"/>
        <v>61.783628800043829</v>
      </c>
      <c r="N15" s="1">
        <v>-4.2471000000000004E-6</v>
      </c>
      <c r="O15" s="2">
        <f t="shared" si="6"/>
        <v>3.1751945145468494</v>
      </c>
      <c r="P15" s="1">
        <v>-4.1956000000000003E-5</v>
      </c>
      <c r="Q15" s="2">
        <f t="shared" si="7"/>
        <v>31.366923560153428</v>
      </c>
      <c r="R15" s="1"/>
      <c r="S15" s="1"/>
      <c r="T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45">
      <c r="A16">
        <f t="shared" si="8"/>
        <v>740</v>
      </c>
      <c r="B16" s="1">
        <v>-7.0484000000000001E-6</v>
      </c>
      <c r="C16" s="2">
        <f t="shared" si="0"/>
        <v>5.1982783616172972</v>
      </c>
      <c r="D16" s="1">
        <v>-1.8819999999999999E-5</v>
      </c>
      <c r="E16" s="2">
        <f t="shared" si="1"/>
        <v>13.879972584648648</v>
      </c>
      <c r="F16" s="1">
        <v>-7.1099999999999997E-6</v>
      </c>
      <c r="G16" s="2">
        <f t="shared" si="2"/>
        <v>5.2437090901621621</v>
      </c>
      <c r="H16" s="1">
        <v>-3.7237999999999998E-5</v>
      </c>
      <c r="I16" s="2">
        <f t="shared" si="3"/>
        <v>27.463465414832431</v>
      </c>
      <c r="J16" s="1">
        <v>-5.5550000000000002E-6</v>
      </c>
      <c r="K16" s="2">
        <f t="shared" si="4"/>
        <v>4.0968781991351353</v>
      </c>
      <c r="L16" s="1">
        <v>-4.9431000000000002E-5</v>
      </c>
      <c r="M16" s="2">
        <f t="shared" si="5"/>
        <v>36.455947121772972</v>
      </c>
      <c r="N16" s="1">
        <v>-3.8658000000000003E-6</v>
      </c>
      <c r="O16" s="2">
        <f t="shared" si="6"/>
        <v>2.8510732209210814</v>
      </c>
      <c r="P16" s="1">
        <v>-3.659E-5</v>
      </c>
      <c r="Q16" s="2">
        <f t="shared" si="7"/>
        <v>26.985557750918918</v>
      </c>
    </row>
    <row r="17" spans="1:17">
      <c r="A17">
        <f t="shared" si="8"/>
        <v>750</v>
      </c>
      <c r="B17" s="1">
        <v>-6.8549000000000002E-6</v>
      </c>
      <c r="C17" s="2">
        <f t="shared" si="0"/>
        <v>4.9881622254464002</v>
      </c>
      <c r="D17" s="1">
        <v>-1.6606E-5</v>
      </c>
      <c r="E17" s="2">
        <f t="shared" si="1"/>
        <v>12.083826447616</v>
      </c>
      <c r="F17" s="1">
        <v>-6.6915000000000002E-6</v>
      </c>
      <c r="G17" s="2">
        <f t="shared" si="2"/>
        <v>4.8692595853440004</v>
      </c>
      <c r="H17" s="1">
        <v>-2.7364000000000001E-5</v>
      </c>
      <c r="I17" s="2">
        <f t="shared" si="3"/>
        <v>19.912189986304003</v>
      </c>
      <c r="J17" s="1">
        <v>-5.1633000000000002E-6</v>
      </c>
      <c r="K17" s="2">
        <f t="shared" si="4"/>
        <v>3.7572215522688004</v>
      </c>
      <c r="L17" s="1">
        <v>-3.0883000000000002E-5</v>
      </c>
      <c r="M17" s="2">
        <f t="shared" si="5"/>
        <v>22.472890050688004</v>
      </c>
      <c r="N17" s="1">
        <v>-3.6273E-6</v>
      </c>
      <c r="O17" s="2">
        <f t="shared" si="6"/>
        <v>2.6395076281728</v>
      </c>
      <c r="P17" s="1">
        <v>-2.3275999999999999E-5</v>
      </c>
      <c r="Q17" s="2">
        <f t="shared" si="7"/>
        <v>16.937440948736</v>
      </c>
    </row>
    <row r="18" spans="1:17">
      <c r="A18">
        <f t="shared" si="8"/>
        <v>760</v>
      </c>
      <c r="B18" s="1">
        <v>-6.7428000000000001E-6</v>
      </c>
      <c r="C18" s="2">
        <f t="shared" si="0"/>
        <v>4.8420290960336843</v>
      </c>
      <c r="D18" s="1">
        <v>-1.5061E-5</v>
      </c>
      <c r="E18" s="2">
        <f t="shared" si="1"/>
        <v>10.815358636673686</v>
      </c>
      <c r="F18" s="1">
        <v>-6.4106000000000001E-6</v>
      </c>
      <c r="G18" s="2">
        <f t="shared" si="2"/>
        <v>4.6034750731200003</v>
      </c>
      <c r="H18" s="1">
        <v>-2.1678000000000001E-5</v>
      </c>
      <c r="I18" s="2">
        <f t="shared" si="3"/>
        <v>15.56705029717895</v>
      </c>
      <c r="J18" s="1">
        <v>-4.8986E-6</v>
      </c>
      <c r="K18" s="2">
        <f t="shared" si="4"/>
        <v>3.5177023980884217</v>
      </c>
      <c r="L18" s="1">
        <v>-2.1540999999999999E-5</v>
      </c>
      <c r="M18" s="2">
        <f t="shared" si="5"/>
        <v>15.468670101094739</v>
      </c>
      <c r="N18" s="1">
        <v>-3.4944E-6</v>
      </c>
      <c r="O18" s="2">
        <f t="shared" si="6"/>
        <v>2.5093412934063162</v>
      </c>
      <c r="P18" s="1">
        <v>-1.5577999999999999E-5</v>
      </c>
      <c r="Q18" s="2">
        <f t="shared" si="7"/>
        <v>11.186618208757894</v>
      </c>
    </row>
    <row r="19" spans="1:17">
      <c r="A19">
        <f t="shared" si="8"/>
        <v>770</v>
      </c>
      <c r="B19" s="1">
        <v>-6.7127000000000001E-6</v>
      </c>
      <c r="C19" s="2">
        <f t="shared" si="0"/>
        <v>4.7578113955199992</v>
      </c>
      <c r="D19" s="1">
        <v>-1.3998999999999999E-5</v>
      </c>
      <c r="E19" s="2">
        <f t="shared" si="1"/>
        <v>9.9221776223999996</v>
      </c>
      <c r="F19" s="1">
        <v>-6.2508000000000004E-6</v>
      </c>
      <c r="G19" s="2">
        <f t="shared" si="2"/>
        <v>4.4304270220799999</v>
      </c>
      <c r="H19" s="1">
        <v>-1.8178000000000001E-5</v>
      </c>
      <c r="I19" s="2">
        <f t="shared" si="3"/>
        <v>12.8841592128</v>
      </c>
      <c r="J19" s="1">
        <v>-4.7688E-6</v>
      </c>
      <c r="K19" s="2">
        <f t="shared" si="4"/>
        <v>3.3800186188799999</v>
      </c>
      <c r="L19" s="1">
        <v>-1.6554000000000001E-5</v>
      </c>
      <c r="M19" s="2">
        <f t="shared" si="5"/>
        <v>11.733104390399999</v>
      </c>
      <c r="N19" s="1">
        <v>-3.4139E-6</v>
      </c>
      <c r="O19" s="2">
        <f t="shared" si="6"/>
        <v>2.41969584864</v>
      </c>
      <c r="P19" s="1">
        <v>-1.1496E-5</v>
      </c>
      <c r="Q19" s="2">
        <f t="shared" si="7"/>
        <v>8.1481072895999986</v>
      </c>
    </row>
    <row r="20" spans="1:17">
      <c r="A20">
        <f t="shared" si="8"/>
        <v>780</v>
      </c>
      <c r="B20" s="1">
        <v>-6.7150000000000001E-6</v>
      </c>
      <c r="C20" s="2">
        <f t="shared" si="0"/>
        <v>4.6984231021538463</v>
      </c>
      <c r="D20" s="1">
        <v>-1.3200000000000001E-5</v>
      </c>
      <c r="E20" s="2">
        <f t="shared" si="1"/>
        <v>9.2359173415384621</v>
      </c>
      <c r="F20" s="1">
        <v>-6.1479E-6</v>
      </c>
      <c r="G20" s="2">
        <f t="shared" si="2"/>
        <v>4.301628501821539</v>
      </c>
      <c r="H20" s="1">
        <v>-1.5835E-5</v>
      </c>
      <c r="I20" s="2">
        <f t="shared" si="3"/>
        <v>11.079602356307692</v>
      </c>
      <c r="J20" s="1">
        <v>-4.6667999999999999E-6</v>
      </c>
      <c r="K20" s="2">
        <f t="shared" si="4"/>
        <v>3.2653165946584615</v>
      </c>
      <c r="L20" s="1">
        <v>-1.3536000000000001E-5</v>
      </c>
      <c r="M20" s="2">
        <f t="shared" si="5"/>
        <v>9.4710134193230768</v>
      </c>
      <c r="N20" s="1">
        <v>-3.4143000000000001E-6</v>
      </c>
      <c r="O20" s="2">
        <f t="shared" si="6"/>
        <v>2.3889539832738462</v>
      </c>
      <c r="P20" s="1">
        <v>-9.2217000000000002E-6</v>
      </c>
      <c r="Q20" s="2">
        <f t="shared" si="7"/>
        <v>6.4523377991261546</v>
      </c>
    </row>
    <row r="21" spans="1:17">
      <c r="A21">
        <f t="shared" si="8"/>
        <v>790</v>
      </c>
      <c r="B21" s="1">
        <v>-6.7472999999999998E-6</v>
      </c>
      <c r="C21" s="2">
        <f t="shared" si="0"/>
        <v>4.6612633257843035</v>
      </c>
      <c r="D21" s="1">
        <v>-1.26E-5</v>
      </c>
      <c r="E21" s="2">
        <f t="shared" si="1"/>
        <v>8.7045066774683555</v>
      </c>
      <c r="F21" s="1">
        <v>-6.0866000000000003E-6</v>
      </c>
      <c r="G21" s="2">
        <f t="shared" si="2"/>
        <v>4.2048293923078486</v>
      </c>
      <c r="H21" s="1">
        <v>-1.417E-5</v>
      </c>
      <c r="I21" s="2">
        <f t="shared" si="3"/>
        <v>9.789115842835443</v>
      </c>
      <c r="J21" s="1">
        <v>-4.6256000000000002E-6</v>
      </c>
      <c r="K21" s="2">
        <f t="shared" si="4"/>
        <v>3.1955211180394936</v>
      </c>
      <c r="L21" s="1">
        <v>-1.1576000000000001E-5</v>
      </c>
      <c r="M21" s="2">
        <f t="shared" si="5"/>
        <v>7.997092801458229</v>
      </c>
      <c r="N21" s="1">
        <v>-3.4164999999999998E-6</v>
      </c>
      <c r="O21" s="2">
        <f t="shared" si="6"/>
        <v>2.3602338939341769</v>
      </c>
      <c r="P21" s="1">
        <v>-7.8642E-6</v>
      </c>
      <c r="Q21" s="2">
        <f t="shared" si="7"/>
        <v>5.4328556676941773</v>
      </c>
    </row>
    <row r="22" spans="1:17">
      <c r="A22">
        <f t="shared" si="8"/>
        <v>800</v>
      </c>
      <c r="B22" s="1">
        <v>-6.8033999999999999E-6</v>
      </c>
      <c r="C22" s="2">
        <f t="shared" si="0"/>
        <v>4.6412688666960005</v>
      </c>
      <c r="D22" s="1">
        <v>-1.2143999999999999E-5</v>
      </c>
      <c r="E22" s="2">
        <f t="shared" si="1"/>
        <v>8.2846178553600005</v>
      </c>
      <c r="F22" s="1">
        <v>-6.0757000000000001E-6</v>
      </c>
      <c r="G22" s="2">
        <f t="shared" si="2"/>
        <v>4.1448330619080007</v>
      </c>
      <c r="H22" s="1">
        <v>-1.2991E-5</v>
      </c>
      <c r="I22" s="2">
        <f t="shared" si="3"/>
        <v>8.8624399340399993</v>
      </c>
      <c r="J22" s="1">
        <v>-4.6330000000000004E-6</v>
      </c>
      <c r="K22" s="2">
        <f t="shared" si="4"/>
        <v>3.1606253725200006</v>
      </c>
      <c r="L22" s="1">
        <v>-1.0315E-5</v>
      </c>
      <c r="M22" s="2">
        <f t="shared" si="5"/>
        <v>7.0368769086000009</v>
      </c>
      <c r="N22" s="1">
        <v>-3.4263999999999999E-6</v>
      </c>
      <c r="O22" s="2">
        <f t="shared" si="6"/>
        <v>2.3374847348159999</v>
      </c>
      <c r="P22" s="1">
        <v>-6.9280999999999998E-6</v>
      </c>
      <c r="Q22" s="2">
        <f t="shared" si="7"/>
        <v>4.7263390121639999</v>
      </c>
    </row>
    <row r="23" spans="1:17">
      <c r="A23">
        <f t="shared" si="8"/>
        <v>810</v>
      </c>
      <c r="B23" s="1">
        <v>-6.8836999999999998E-6</v>
      </c>
      <c r="C23" s="2">
        <f t="shared" si="0"/>
        <v>4.6380734828918522</v>
      </c>
      <c r="D23" s="1">
        <v>-1.1809E-5</v>
      </c>
      <c r="E23" s="2">
        <f t="shared" si="1"/>
        <v>7.9566235831703711</v>
      </c>
      <c r="F23" s="1">
        <v>-6.0769000000000002E-6</v>
      </c>
      <c r="G23" s="2">
        <f t="shared" si="2"/>
        <v>4.0944708148503706</v>
      </c>
      <c r="H23" s="1">
        <v>-1.2116999999999999E-5</v>
      </c>
      <c r="I23" s="2">
        <f t="shared" si="3"/>
        <v>8.1641466641777782</v>
      </c>
      <c r="J23" s="1">
        <v>-4.6275000000000002E-6</v>
      </c>
      <c r="K23" s="2">
        <f t="shared" si="4"/>
        <v>3.1178995368888893</v>
      </c>
      <c r="L23" s="1">
        <v>-9.3919000000000007E-6</v>
      </c>
      <c r="M23" s="2">
        <f t="shared" si="5"/>
        <v>6.3280390406281493</v>
      </c>
      <c r="N23" s="1">
        <v>-3.5035E-6</v>
      </c>
      <c r="O23" s="2">
        <f t="shared" si="6"/>
        <v>2.3605750464592594</v>
      </c>
      <c r="P23" s="1">
        <v>-6.3647999999999996E-6</v>
      </c>
      <c r="Q23" s="2">
        <f t="shared" si="7"/>
        <v>4.288450993493333</v>
      </c>
    </row>
    <row r="24" spans="1:17">
      <c r="A24">
        <f t="shared" si="8"/>
        <v>820</v>
      </c>
      <c r="B24" s="1">
        <v>-6.9806999999999999E-6</v>
      </c>
      <c r="C24" s="2">
        <f t="shared" si="0"/>
        <v>4.6460708781541458</v>
      </c>
      <c r="D24" s="1">
        <v>-1.1562E-5</v>
      </c>
      <c r="E24" s="2">
        <f t="shared" si="1"/>
        <v>7.6951984032</v>
      </c>
      <c r="F24" s="1">
        <v>-6.1189E-6</v>
      </c>
      <c r="G24" s="2">
        <f t="shared" si="2"/>
        <v>4.0724917409912189</v>
      </c>
      <c r="H24" s="1">
        <v>-1.1455E-5</v>
      </c>
      <c r="I24" s="2">
        <f t="shared" si="3"/>
        <v>7.6239835416585358</v>
      </c>
      <c r="J24" s="1">
        <v>-4.6716000000000003E-6</v>
      </c>
      <c r="K24" s="2">
        <f t="shared" si="4"/>
        <v>3.1092275437112198</v>
      </c>
      <c r="L24" s="1">
        <v>-8.7315999999999995E-6</v>
      </c>
      <c r="M24" s="2">
        <f t="shared" si="5"/>
        <v>5.8113989255648777</v>
      </c>
      <c r="N24" s="1">
        <v>-3.5920999999999999E-6</v>
      </c>
      <c r="O24" s="2">
        <f t="shared" si="6"/>
        <v>2.3907561134868289</v>
      </c>
      <c r="P24" s="1">
        <v>-6.0395999999999997E-6</v>
      </c>
      <c r="Q24" s="2">
        <f t="shared" si="7"/>
        <v>4.0197128763160972</v>
      </c>
    </row>
    <row r="25" spans="1:17">
      <c r="A25">
        <f t="shared" si="8"/>
        <v>830</v>
      </c>
      <c r="B25" s="1">
        <v>-7.0419000000000003E-6</v>
      </c>
      <c r="C25" s="2">
        <f t="shared" si="0"/>
        <v>4.6303356092877106</v>
      </c>
      <c r="D25" s="1">
        <v>-1.1302E-5</v>
      </c>
      <c r="E25" s="2">
        <f t="shared" si="1"/>
        <v>7.431524596510843</v>
      </c>
      <c r="F25" s="1">
        <v>-6.1418999999999996E-6</v>
      </c>
      <c r="G25" s="2">
        <f t="shared" si="2"/>
        <v>4.0385490107334938</v>
      </c>
      <c r="H25" s="1">
        <v>-1.0917999999999999E-5</v>
      </c>
      <c r="I25" s="2">
        <f t="shared" si="3"/>
        <v>7.1790289811277113</v>
      </c>
      <c r="J25" s="1">
        <v>-4.7295000000000002E-6</v>
      </c>
      <c r="K25" s="2">
        <f t="shared" si="4"/>
        <v>3.10983857540241</v>
      </c>
      <c r="L25" s="1">
        <v>-8.2657999999999997E-6</v>
      </c>
      <c r="M25" s="2">
        <f t="shared" si="5"/>
        <v>5.4350996292549389</v>
      </c>
      <c r="N25" s="1">
        <v>-3.6016E-6</v>
      </c>
      <c r="O25" s="2">
        <f t="shared" si="6"/>
        <v>2.368198459280964</v>
      </c>
      <c r="P25" s="1">
        <v>-5.6901E-6</v>
      </c>
      <c r="Q25" s="2">
        <f t="shared" si="7"/>
        <v>3.7414721382592773</v>
      </c>
    </row>
    <row r="26" spans="1:17">
      <c r="A26">
        <f t="shared" si="8"/>
        <v>840</v>
      </c>
      <c r="B26" s="1">
        <v>-7.1049000000000004E-6</v>
      </c>
      <c r="C26" s="2">
        <f t="shared" si="0"/>
        <v>4.6161444727200003</v>
      </c>
      <c r="D26" s="1">
        <v>-1.1097999999999999E-5</v>
      </c>
      <c r="E26" s="2">
        <f t="shared" si="1"/>
        <v>7.2105126544000004</v>
      </c>
      <c r="F26" s="1">
        <v>-6.1507000000000003E-6</v>
      </c>
      <c r="G26" s="2">
        <f t="shared" si="2"/>
        <v>3.9961885189600004</v>
      </c>
      <c r="H26" s="1">
        <v>-1.0474E-5</v>
      </c>
      <c r="I26" s="2">
        <f t="shared" si="3"/>
        <v>6.8050918672000007</v>
      </c>
      <c r="J26" s="1">
        <v>-4.7454999999999997E-6</v>
      </c>
      <c r="K26" s="2">
        <f t="shared" si="4"/>
        <v>3.0832120923999997</v>
      </c>
      <c r="L26" s="1">
        <v>-7.8961000000000005E-6</v>
      </c>
      <c r="M26" s="2">
        <f t="shared" si="5"/>
        <v>5.1301972400800011</v>
      </c>
      <c r="N26" s="1">
        <v>-3.6565999999999999E-6</v>
      </c>
      <c r="O26" s="2">
        <f t="shared" si="6"/>
        <v>2.3757398244800001</v>
      </c>
      <c r="P26" s="1">
        <v>-5.4539000000000004E-6</v>
      </c>
      <c r="Q26" s="2">
        <f t="shared" si="7"/>
        <v>3.5434686399200004</v>
      </c>
    </row>
    <row r="27" spans="1:17">
      <c r="A27">
        <f t="shared" si="8"/>
        <v>850</v>
      </c>
      <c r="B27" s="1">
        <v>-7.1890000000000001E-6</v>
      </c>
      <c r="C27" s="2">
        <f t="shared" si="0"/>
        <v>4.6158349036800006</v>
      </c>
      <c r="D27" s="1">
        <v>-1.0941000000000001E-5</v>
      </c>
      <c r="E27" s="2">
        <f t="shared" si="1"/>
        <v>7.0248782419200007</v>
      </c>
      <c r="F27" s="1">
        <v>-6.195E-6</v>
      </c>
      <c r="G27" s="2">
        <f t="shared" si="2"/>
        <v>3.9776181984000001</v>
      </c>
      <c r="H27" s="1">
        <v>-1.0115999999999999E-5</v>
      </c>
      <c r="I27" s="2">
        <f t="shared" si="3"/>
        <v>6.4951712179200003</v>
      </c>
      <c r="J27" s="1">
        <v>-4.7698999999999999E-6</v>
      </c>
      <c r="K27" s="2">
        <f t="shared" si="4"/>
        <v>3.062605495488</v>
      </c>
      <c r="L27" s="1">
        <v>-7.5599000000000002E-6</v>
      </c>
      <c r="M27" s="2">
        <f t="shared" si="5"/>
        <v>4.8539783402880001</v>
      </c>
      <c r="N27" s="1">
        <v>-3.7776999999999998E-6</v>
      </c>
      <c r="O27" s="2">
        <f t="shared" si="6"/>
        <v>2.4255445146240002</v>
      </c>
      <c r="P27" s="1">
        <v>-5.3626000000000001E-6</v>
      </c>
      <c r="Q27" s="2">
        <f t="shared" si="7"/>
        <v>3.4431598629120002</v>
      </c>
    </row>
    <row r="28" spans="1:17">
      <c r="J28" s="1"/>
      <c r="K28" s="2"/>
      <c r="M28" s="2"/>
    </row>
    <row r="29" spans="1:17">
      <c r="J29" s="1"/>
      <c r="K29" s="2"/>
      <c r="M29" s="2"/>
    </row>
    <row r="30" spans="1:17">
      <c r="J30" s="1"/>
      <c r="K30" s="2"/>
      <c r="M30" s="2"/>
    </row>
    <row r="31" spans="1:17">
      <c r="J31" s="1"/>
      <c r="K31" s="2"/>
      <c r="M31" s="2"/>
    </row>
    <row r="32" spans="1:17">
      <c r="J32" s="1"/>
      <c r="K32" s="2"/>
      <c r="M32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95C7-5E95-40A0-B795-F89AEAF00555}">
  <dimension ref="A1:BF28"/>
  <sheetViews>
    <sheetView topLeftCell="V1" workbookViewId="0">
      <selection activeCell="Y2" sqref="Y2"/>
    </sheetView>
  </sheetViews>
  <sheetFormatPr defaultRowHeight="15"/>
  <cols>
    <col min="1" max="1" width="11.42578125" customWidth="1"/>
    <col min="2" max="2" width="11.85546875" customWidth="1"/>
    <col min="3" max="3" width="14.28515625" style="2" customWidth="1"/>
    <col min="4" max="4" width="15.42578125" customWidth="1"/>
    <col min="5" max="5" width="14" style="2" customWidth="1"/>
    <col min="6" max="6" width="15.42578125" customWidth="1"/>
    <col min="7" max="7" width="14.5703125" customWidth="1"/>
    <col min="8" max="8" width="17.5703125" customWidth="1"/>
    <col min="9" max="9" width="14.28515625" customWidth="1"/>
    <col min="11" max="11" width="15.28515625" customWidth="1"/>
    <col min="12" max="12" width="13.7109375" customWidth="1"/>
    <col min="13" max="13" width="14" customWidth="1"/>
    <col min="14" max="14" width="16.7109375" customWidth="1"/>
    <col min="15" max="15" width="20.42578125" customWidth="1"/>
    <col min="16" max="16" width="13.7109375" customWidth="1"/>
    <col min="17" max="17" width="14" customWidth="1"/>
    <col min="18" max="18" width="16.7109375" customWidth="1"/>
    <col min="19" max="19" width="20.42578125" customWidth="1"/>
    <col min="20" max="20" width="13.7109375" customWidth="1"/>
    <col min="21" max="21" width="14" customWidth="1"/>
    <col min="22" max="22" width="17" customWidth="1"/>
    <col min="23" max="23" width="18.7109375" customWidth="1"/>
    <col min="24" max="24" width="18.85546875" customWidth="1"/>
    <col min="25" max="25" width="25.85546875" customWidth="1"/>
    <col min="26" max="26" width="17" customWidth="1"/>
    <col min="27" max="27" width="18.7109375" customWidth="1"/>
    <col min="28" max="28" width="18.85546875" customWidth="1"/>
    <col min="29" max="29" width="25.85546875" customWidth="1"/>
  </cols>
  <sheetData>
    <row r="1" spans="1:58">
      <c r="A1" t="s">
        <v>0</v>
      </c>
      <c r="B1" t="s">
        <v>49</v>
      </c>
      <c r="C1" s="2" t="s">
        <v>50</v>
      </c>
      <c r="D1" t="s">
        <v>51</v>
      </c>
      <c r="E1" s="2" t="s">
        <v>52</v>
      </c>
      <c r="F1" t="s">
        <v>53</v>
      </c>
      <c r="G1" s="2" t="s">
        <v>54</v>
      </c>
      <c r="H1" t="s">
        <v>55</v>
      </c>
      <c r="I1" s="2" t="s">
        <v>56</v>
      </c>
      <c r="J1" t="s">
        <v>57</v>
      </c>
      <c r="K1" s="2" t="s">
        <v>58</v>
      </c>
      <c r="L1" t="s">
        <v>59</v>
      </c>
      <c r="M1" s="2" t="s">
        <v>60</v>
      </c>
      <c r="N1" t="s">
        <v>61</v>
      </c>
      <c r="O1" s="2" t="s">
        <v>62</v>
      </c>
      <c r="P1" t="s">
        <v>63</v>
      </c>
      <c r="Q1" s="2" t="s">
        <v>64</v>
      </c>
      <c r="R1" t="s">
        <v>65</v>
      </c>
      <c r="S1" s="2" t="s">
        <v>66</v>
      </c>
      <c r="T1" t="s">
        <v>67</v>
      </c>
      <c r="U1" s="2" t="s">
        <v>68</v>
      </c>
      <c r="V1" t="s">
        <v>69</v>
      </c>
      <c r="W1" s="2" t="s">
        <v>70</v>
      </c>
      <c r="X1" t="s">
        <v>71</v>
      </c>
      <c r="Y1" s="2" t="s">
        <v>72</v>
      </c>
      <c r="Z1" t="s">
        <v>73</v>
      </c>
      <c r="AA1" s="2" t="s">
        <v>74</v>
      </c>
      <c r="AB1" t="s">
        <v>75</v>
      </c>
      <c r="AC1" s="2" t="s">
        <v>76</v>
      </c>
    </row>
    <row r="2" spans="1:58">
      <c r="A2">
        <v>600</v>
      </c>
      <c r="B2" s="1">
        <v>-4.1316999999999998E-6</v>
      </c>
      <c r="C2" s="2">
        <f>-8.686*2*3.1416*(B2)/((A2)*10^-7)</f>
        <v>3.7581857260640001</v>
      </c>
      <c r="D2" s="1">
        <v>-2.1378000000000001E-6</v>
      </c>
      <c r="E2" s="2">
        <f>-8.686*2*3.1416*(D2)/((A2)*10^-7)</f>
        <v>1.9445384333760001</v>
      </c>
      <c r="F2" s="1">
        <v>-3.6959999999999998E-6</v>
      </c>
      <c r="G2" s="2">
        <f>-8.686*2*3.1416*(F2)/((A2)*10^-7)</f>
        <v>3.3618739123200001</v>
      </c>
      <c r="H2" s="1">
        <v>-1.9404999999999999E-6</v>
      </c>
      <c r="I2" s="2">
        <f>-8.686*2*3.1416*(H2)/((A2)*10^-7)</f>
        <v>1.7650747637599999</v>
      </c>
      <c r="J2" s="1">
        <v>-3.3380000000000001E-6</v>
      </c>
      <c r="K2" s="2">
        <f>-8.686*2*3.1416*(J2)/((A2)*10^-7)</f>
        <v>3.0362378569600001</v>
      </c>
      <c r="L2" s="1">
        <v>-1.776E-6</v>
      </c>
      <c r="M2" s="2">
        <f>-8.686*2*3.1416*(L2)/((A2)*10^-7)</f>
        <v>1.6154459059200001</v>
      </c>
      <c r="N2" s="1">
        <v>-3.0407E-6</v>
      </c>
      <c r="O2" s="2">
        <f>-8.686*2*3.1416*(N2)/((A2)*10^-7)</f>
        <v>2.7658143953440004</v>
      </c>
      <c r="P2" s="1">
        <v>-1.6378E-6</v>
      </c>
      <c r="Q2" s="2">
        <f>-8.686*2*3.1416*(P2)/((A2)*10^-7)</f>
        <v>1.4897394733760001</v>
      </c>
      <c r="R2" s="1">
        <v>-2.7914999999999999E-6</v>
      </c>
      <c r="S2" s="2">
        <f>-8.686*2*3.1416*(R2)/((A2)*10^-7)</f>
        <v>2.5391425936799998</v>
      </c>
      <c r="T2" s="1">
        <v>-1.5208999999999999E-6</v>
      </c>
      <c r="U2" s="2">
        <f>-8.686*2*3.1416*(T2)/((A2)*10^-7)</f>
        <v>1.383407476528</v>
      </c>
      <c r="V2" s="1">
        <v>-2.5834999999999999E-6</v>
      </c>
      <c r="W2" s="2">
        <f>-8.686*2*3.1416*(V2)/((A2)*10^-7)</f>
        <v>2.3499462263200002</v>
      </c>
      <c r="X2" s="1">
        <v>-1.4221999999999999E-6</v>
      </c>
      <c r="Y2" s="2">
        <f>-8.686*2*3.1416*(X2)/((A2)*10^-7)</f>
        <v>1.293630161824</v>
      </c>
      <c r="Z2" s="1">
        <v>-2.2630000000000002E-6</v>
      </c>
      <c r="AA2" s="2">
        <f>-8.686*2*3.1416*(Z2)/((A2)*10^-7)</f>
        <v>2.0584200929600005</v>
      </c>
      <c r="AB2" s="1">
        <v>-1.2688E-6</v>
      </c>
      <c r="AC2" s="2">
        <f>-8.686*2*3.1416*(AB2)/((A2)*10^-7)</f>
        <v>1.1540978408960001</v>
      </c>
    </row>
    <row r="3" spans="1:58">
      <c r="A3">
        <f>A2+10</f>
        <v>610</v>
      </c>
      <c r="B3" s="1">
        <v>-5.4121999999999996E-6</v>
      </c>
      <c r="C3" s="2">
        <f t="shared" ref="C3:C27" si="0">-8.686*2*3.1416*(B3)/((A3)*10^-7)</f>
        <v>4.8422221599580331</v>
      </c>
      <c r="D3" s="1">
        <v>-2.2293E-6</v>
      </c>
      <c r="E3" s="2">
        <f t="shared" ref="E3:E27" si="1">-8.686*2*3.1416*(D3)/((A3)*10^-7)</f>
        <v>1.994524566940328</v>
      </c>
      <c r="F3" s="1">
        <v>-4.7961999999999999E-6</v>
      </c>
      <c r="G3" s="2">
        <f t="shared" ref="G3:G27" si="2">-8.686*2*3.1416*(F3)/((A3)*10^-7)</f>
        <v>4.2910952890859013</v>
      </c>
      <c r="H3" s="1">
        <v>-2.0144999999999999E-6</v>
      </c>
      <c r="I3" s="2">
        <f t="shared" ref="I3:I27" si="3">-8.686*2*3.1416*(H3)/((A3)*10^-7)</f>
        <v>1.8023459113180327</v>
      </c>
      <c r="J3" s="1">
        <v>-4.2942999999999997E-6</v>
      </c>
      <c r="K3" s="2">
        <f t="shared" ref="K3:K27" si="4">-8.686*2*3.1416*(J3)/((A3)*10^-7)</f>
        <v>3.842052145432131</v>
      </c>
      <c r="L3" s="1">
        <v>-1.8359000000000001E-6</v>
      </c>
      <c r="M3" s="2">
        <f t="shared" ref="M3:M27" si="5">-8.686*2*3.1416*(L3)/((A3)*10^-7)</f>
        <v>1.6425549062242624</v>
      </c>
      <c r="N3" s="1">
        <v>-3.8804000000000002E-6</v>
      </c>
      <c r="O3" s="2">
        <f t="shared" ref="O3:O27" si="6">-8.686*2*3.1416*(N3)/((A3)*10^-7)</f>
        <v>3.4717414119029506</v>
      </c>
      <c r="P3" s="1">
        <v>-1.6861E-6</v>
      </c>
      <c r="Q3" s="2">
        <f t="shared" ref="Q3:Q27" si="7">-8.686*2*3.1416*(P3)/((A3)*10^-7)</f>
        <v>1.5085308717167214</v>
      </c>
      <c r="R3" s="1">
        <v>-3.5354999999999999E-6</v>
      </c>
      <c r="S3" s="2">
        <f t="shared" ref="S3:S27" si="8">-8.686*2*3.1416*(R3)/((A3)*10^-7)</f>
        <v>3.1631640454032786</v>
      </c>
      <c r="T3" s="1">
        <v>-1.5595000000000001E-6</v>
      </c>
      <c r="U3" s="2">
        <f t="shared" ref="U3:U27" si="9">-8.686*2*3.1416*(T3)/((A3)*10^-7)</f>
        <v>1.3952635635147541</v>
      </c>
      <c r="V3" s="1">
        <v>-3.2493E-6</v>
      </c>
      <c r="W3" s="2">
        <f t="shared" ref="W3:W27" si="10">-8.686*2*3.1416*(V3)/((A3)*10^-7)</f>
        <v>2.9071047752026229</v>
      </c>
      <c r="X3" s="1">
        <v>-1.4529000000000001E-6</v>
      </c>
      <c r="Y3" s="2">
        <f t="shared" ref="Y3:Y26" si="11">-8.686*2*3.1416*(X3)/((A3)*10^-7)</f>
        <v>1.2998899848865573</v>
      </c>
      <c r="Z3" s="1">
        <v>-2.8107E-6</v>
      </c>
      <c r="AA3" s="2">
        <f t="shared" ref="AA3:AA27" si="12">-8.686*2*3.1416*(Z3)/((A3)*10^-7)</f>
        <v>2.5146952856498359</v>
      </c>
      <c r="AB3" s="1">
        <v>-1.2872999999999999E-6</v>
      </c>
      <c r="AC3" s="2">
        <f t="shared" ref="AC3:AC27" si="13">-8.686*2*3.1416*(AB3)/((A3)*10^-7)</f>
        <v>1.1517299040157376</v>
      </c>
    </row>
    <row r="4" spans="1:58">
      <c r="A4">
        <f t="shared" ref="A4:A28" si="14">A3+10</f>
        <v>620</v>
      </c>
      <c r="B4" s="1">
        <v>-7.7960999999999998E-6</v>
      </c>
      <c r="C4" s="2">
        <f t="shared" si="0"/>
        <v>6.8625642039793542</v>
      </c>
      <c r="D4" s="1">
        <v>-2.3842E-6</v>
      </c>
      <c r="E4" s="2">
        <f t="shared" si="1"/>
        <v>2.0987064782554841</v>
      </c>
      <c r="F4" s="1">
        <v>-6.8282000000000001E-6</v>
      </c>
      <c r="G4" s="2">
        <f t="shared" si="2"/>
        <v>6.010564371623226</v>
      </c>
      <c r="H4" s="1">
        <v>-2.1440999999999999E-6</v>
      </c>
      <c r="I4" s="2">
        <f t="shared" si="3"/>
        <v>1.8873570002632256</v>
      </c>
      <c r="J4" s="1">
        <v>-6.0487000000000002E-6</v>
      </c>
      <c r="K4" s="2">
        <f t="shared" si="4"/>
        <v>5.3244047793909672</v>
      </c>
      <c r="L4" s="1">
        <v>-1.9454E-6</v>
      </c>
      <c r="M4" s="2">
        <f t="shared" si="5"/>
        <v>1.7124501228077418</v>
      </c>
      <c r="N4" s="1">
        <v>-5.4121999999999996E-6</v>
      </c>
      <c r="O4" s="2">
        <f t="shared" si="6"/>
        <v>4.7641218025393544</v>
      </c>
      <c r="P4" s="1">
        <v>-1.7792E-6</v>
      </c>
      <c r="Q4" s="2">
        <f t="shared" si="7"/>
        <v>1.5661515670296773</v>
      </c>
      <c r="R4" s="1">
        <v>-4.8860999999999997E-6</v>
      </c>
      <c r="S4" s="2">
        <f t="shared" si="8"/>
        <v>4.3010190937858059</v>
      </c>
      <c r="T4" s="1">
        <v>-1.6392999999999999E-6</v>
      </c>
      <c r="U4" s="2">
        <f t="shared" si="9"/>
        <v>1.4430037454090321</v>
      </c>
      <c r="V4" s="1">
        <v>-4.4533000000000002E-6</v>
      </c>
      <c r="W4" s="2">
        <f t="shared" si="10"/>
        <v>3.9200442746477417</v>
      </c>
      <c r="X4" s="1">
        <v>-1.5214E-6</v>
      </c>
      <c r="Y4" s="2">
        <f t="shared" si="11"/>
        <v>1.339221556923871</v>
      </c>
      <c r="Z4" s="1">
        <v>-3.7948999999999999E-6</v>
      </c>
      <c r="AA4" s="2">
        <f t="shared" si="12"/>
        <v>3.3404836902658062</v>
      </c>
      <c r="AB4" s="1">
        <v>-1.3386E-6</v>
      </c>
      <c r="AC4" s="2">
        <f t="shared" si="13"/>
        <v>1.178310750689032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>
      <c r="A5">
        <f t="shared" si="14"/>
        <v>630</v>
      </c>
      <c r="B5" s="1">
        <v>-1.2310000000000001E-5</v>
      </c>
      <c r="C5" s="2">
        <f t="shared" si="0"/>
        <v>10.663952757333334</v>
      </c>
      <c r="D5" s="1">
        <v>-2.6406000000000002E-6</v>
      </c>
      <c r="E5" s="2">
        <f t="shared" si="1"/>
        <v>2.2875088262400003</v>
      </c>
      <c r="F5" s="1">
        <v>-1.0635999999999999E-5</v>
      </c>
      <c r="G5" s="2">
        <f t="shared" si="2"/>
        <v>9.2137937877333336</v>
      </c>
      <c r="H5" s="1">
        <v>-2.3636999999999999E-6</v>
      </c>
      <c r="I5" s="2">
        <f t="shared" si="3"/>
        <v>2.0476348604800001</v>
      </c>
      <c r="J5" s="1">
        <v>-9.3048999999999996E-6</v>
      </c>
      <c r="K5" s="2">
        <f t="shared" si="4"/>
        <v>8.0606835102933321</v>
      </c>
      <c r="L5" s="1">
        <v>-2.1353000000000001E-6</v>
      </c>
      <c r="M5" s="2">
        <f t="shared" si="5"/>
        <v>1.8497756557866667</v>
      </c>
      <c r="N5" s="1">
        <v>-8.2308999999999994E-6</v>
      </c>
      <c r="O5" s="2">
        <f t="shared" si="6"/>
        <v>7.1302947806933332</v>
      </c>
      <c r="P5" s="1">
        <v>-1.9448999999999998E-6</v>
      </c>
      <c r="Q5" s="2">
        <f t="shared" si="7"/>
        <v>1.6848352329599998</v>
      </c>
      <c r="R5" s="1">
        <v>-7.3512E-6</v>
      </c>
      <c r="S5" s="2">
        <f t="shared" si="8"/>
        <v>6.3682249804799991</v>
      </c>
      <c r="T5" s="1">
        <v>-1.7845E-6</v>
      </c>
      <c r="U5" s="2">
        <f t="shared" si="9"/>
        <v>1.5458833221333332</v>
      </c>
      <c r="V5" s="1">
        <v>-6.6354E-6</v>
      </c>
      <c r="W5" s="2">
        <f t="shared" si="10"/>
        <v>5.74813908416</v>
      </c>
      <c r="X5" s="1">
        <v>-1.6502000000000001E-6</v>
      </c>
      <c r="Y5" s="2">
        <f t="shared" si="11"/>
        <v>1.4295414167466669</v>
      </c>
      <c r="Z5" s="1">
        <v>-5.5578999999999998E-6</v>
      </c>
      <c r="AA5" s="2">
        <f t="shared" si="12"/>
        <v>4.8147183614933331</v>
      </c>
      <c r="AB5" s="1">
        <v>-1.4422999999999999E-6</v>
      </c>
      <c r="AC5" s="2">
        <f t="shared" si="13"/>
        <v>1.2494410285866666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8">
      <c r="A6">
        <f t="shared" si="14"/>
        <v>640</v>
      </c>
      <c r="B6" s="1">
        <v>-2.23E-5</v>
      </c>
      <c r="C6" s="2">
        <f t="shared" si="0"/>
        <v>19.016281515000003</v>
      </c>
      <c r="D6" s="1">
        <v>-3.0141999999999999E-6</v>
      </c>
      <c r="E6" s="2">
        <f t="shared" si="1"/>
        <v>2.5703531723099999</v>
      </c>
      <c r="F6" s="1">
        <v>-1.8966000000000001E-5</v>
      </c>
      <c r="G6" s="2">
        <f t="shared" si="2"/>
        <v>16.173219516300001</v>
      </c>
      <c r="H6" s="1">
        <v>-2.6833000000000002E-6</v>
      </c>
      <c r="I6" s="2">
        <f t="shared" si="3"/>
        <v>2.2881788425650003</v>
      </c>
      <c r="J6" s="1">
        <v>-1.6347000000000001E-5</v>
      </c>
      <c r="K6" s="2">
        <f t="shared" si="4"/>
        <v>13.939872373350001</v>
      </c>
      <c r="L6" s="1">
        <v>-2.4115000000000001E-6</v>
      </c>
      <c r="M6" s="2">
        <f t="shared" si="5"/>
        <v>2.0564019225750001</v>
      </c>
      <c r="N6" s="1">
        <v>-1.4256999999999999E-5</v>
      </c>
      <c r="O6" s="2">
        <f t="shared" si="6"/>
        <v>12.15762894885</v>
      </c>
      <c r="P6" s="1">
        <v>-2.1859000000000001E-6</v>
      </c>
      <c r="Q6" s="2">
        <f t="shared" si="7"/>
        <v>1.8640219624950001</v>
      </c>
      <c r="R6" s="1">
        <v>-1.2565000000000001E-5</v>
      </c>
      <c r="S6" s="2">
        <f t="shared" si="8"/>
        <v>10.71477924825</v>
      </c>
      <c r="T6" s="1">
        <v>-1.9968000000000001E-6</v>
      </c>
      <c r="U6" s="2">
        <f t="shared" si="9"/>
        <v>1.7027673062400002</v>
      </c>
      <c r="V6" s="1">
        <v>-1.1202999999999999E-5</v>
      </c>
      <c r="W6" s="2">
        <f t="shared" si="10"/>
        <v>9.5533364041500004</v>
      </c>
      <c r="X6" s="1">
        <v>-1.8390000000000001E-6</v>
      </c>
      <c r="Y6" s="2">
        <f t="shared" si="11"/>
        <v>1.5682036639500001</v>
      </c>
      <c r="Z6" s="1">
        <v>-9.1800000000000002E-6</v>
      </c>
      <c r="AA6" s="2">
        <f t="shared" si="12"/>
        <v>7.8282270989999994</v>
      </c>
      <c r="AB6" s="1">
        <v>-1.5957E-6</v>
      </c>
      <c r="AC6" s="2">
        <f t="shared" si="13"/>
        <v>1.3607300633850001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8">
      <c r="A7">
        <f t="shared" si="14"/>
        <v>650</v>
      </c>
      <c r="B7" s="1">
        <v>-4.5223999999999999E-5</v>
      </c>
      <c r="C7" s="2">
        <f t="shared" si="0"/>
        <v>37.971375077612308</v>
      </c>
      <c r="D7" s="1">
        <v>-3.5762000000000002E-6</v>
      </c>
      <c r="E7" s="2">
        <f t="shared" si="1"/>
        <v>3.0026806906190773</v>
      </c>
      <c r="F7" s="1">
        <v>-3.8463000000000001E-5</v>
      </c>
      <c r="G7" s="2">
        <f t="shared" si="2"/>
        <v>32.294644427963078</v>
      </c>
      <c r="H7" s="1">
        <v>-3.1626E-6</v>
      </c>
      <c r="I7" s="2">
        <f t="shared" si="3"/>
        <v>2.6554101985772309</v>
      </c>
      <c r="J7" s="1">
        <v>-3.2991999999999999E-5</v>
      </c>
      <c r="K7" s="2">
        <f t="shared" si="4"/>
        <v>27.701034993821541</v>
      </c>
      <c r="L7" s="1">
        <v>-2.8256000000000001E-6</v>
      </c>
      <c r="M7" s="2">
        <f t="shared" si="5"/>
        <v>2.3724552763864617</v>
      </c>
      <c r="N7" s="1">
        <v>-2.8552999999999999E-5</v>
      </c>
      <c r="O7" s="2">
        <f t="shared" si="6"/>
        <v>23.973922532086156</v>
      </c>
      <c r="P7" s="1">
        <v>-2.5475000000000002E-6</v>
      </c>
      <c r="Q7" s="2">
        <f t="shared" si="7"/>
        <v>2.1389544934153846</v>
      </c>
      <c r="R7" s="1">
        <v>-2.4924999999999999E-5</v>
      </c>
      <c r="S7" s="2">
        <f t="shared" si="8"/>
        <v>20.927749067076924</v>
      </c>
      <c r="T7" s="1">
        <v>-2.3151999999999999E-6</v>
      </c>
      <c r="U7" s="2">
        <f t="shared" si="9"/>
        <v>1.943908711739077</v>
      </c>
      <c r="V7" s="1">
        <v>-2.1993000000000001E-5</v>
      </c>
      <c r="W7" s="2">
        <f t="shared" si="10"/>
        <v>18.465957281132312</v>
      </c>
      <c r="X7" s="1">
        <v>-2.1222000000000002E-6</v>
      </c>
      <c r="Y7" s="2">
        <f t="shared" si="11"/>
        <v>1.7818603438375387</v>
      </c>
      <c r="Z7" s="1">
        <v>-1.7637000000000001E-5</v>
      </c>
      <c r="AA7" s="2">
        <f t="shared" si="12"/>
        <v>14.808534013883078</v>
      </c>
      <c r="AB7" s="1">
        <v>-1.8259E-6</v>
      </c>
      <c r="AC7" s="2">
        <f t="shared" si="13"/>
        <v>1.5330783158104615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>
      <c r="A8">
        <f t="shared" si="14"/>
        <v>660</v>
      </c>
      <c r="B8" s="1">
        <v>-6.5190000000000004E-5</v>
      </c>
      <c r="C8" s="2">
        <f t="shared" si="0"/>
        <v>53.906080368000005</v>
      </c>
      <c r="D8" s="1">
        <v>-4.4823999999999996E-6</v>
      </c>
      <c r="E8" s="2">
        <f t="shared" si="1"/>
        <v>3.7065288332800002</v>
      </c>
      <c r="F8" s="1">
        <v>-6.1296000000000004E-5</v>
      </c>
      <c r="G8" s="2">
        <f t="shared" si="2"/>
        <v>50.686103731200006</v>
      </c>
      <c r="H8" s="1">
        <v>-3.9326000000000003E-6</v>
      </c>
      <c r="I8" s="2">
        <f t="shared" si="3"/>
        <v>3.2518952547200008</v>
      </c>
      <c r="J8" s="1">
        <v>-5.6886999999999999E-5</v>
      </c>
      <c r="K8" s="2">
        <f t="shared" si="4"/>
        <v>47.040269886400004</v>
      </c>
      <c r="L8" s="1">
        <v>-3.4873000000000001E-6</v>
      </c>
      <c r="M8" s="2">
        <f t="shared" si="5"/>
        <v>2.8836734785600004</v>
      </c>
      <c r="N8" s="1">
        <v>-5.2302000000000002E-5</v>
      </c>
      <c r="O8" s="2">
        <f t="shared" si="6"/>
        <v>43.248900374400009</v>
      </c>
      <c r="P8" s="1">
        <v>-3.1219999999999999E-6</v>
      </c>
      <c r="Q8" s="2">
        <f t="shared" si="7"/>
        <v>2.5816042784000004</v>
      </c>
      <c r="R8" s="1">
        <v>-4.7793000000000001E-5</v>
      </c>
      <c r="S8" s="2">
        <f t="shared" si="8"/>
        <v>39.520375809600004</v>
      </c>
      <c r="T8" s="1">
        <v>-2.8185000000000002E-6</v>
      </c>
      <c r="U8" s="2">
        <f t="shared" si="9"/>
        <v>2.3306379432000002</v>
      </c>
      <c r="V8" s="1">
        <v>-4.3557000000000003E-5</v>
      </c>
      <c r="W8" s="2">
        <f t="shared" si="10"/>
        <v>36.017596910400009</v>
      </c>
      <c r="X8" s="1">
        <v>-2.5687000000000001E-6</v>
      </c>
      <c r="Y8" s="2">
        <f t="shared" si="11"/>
        <v>2.1240765246400004</v>
      </c>
      <c r="Z8" s="1">
        <v>-3.6275000000000001E-5</v>
      </c>
      <c r="AA8" s="2">
        <f t="shared" si="12"/>
        <v>29.996058680000004</v>
      </c>
      <c r="AB8" s="1">
        <v>-2.1878E-6</v>
      </c>
      <c r="AC8" s="2">
        <f t="shared" si="13"/>
        <v>1.8091075721600001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8">
      <c r="A9">
        <f t="shared" si="14"/>
        <v>670</v>
      </c>
      <c r="B9" s="1">
        <v>-4.1746000000000003E-5</v>
      </c>
      <c r="C9" s="2">
        <f t="shared" si="0"/>
        <v>34.004843076107463</v>
      </c>
      <c r="D9" s="1">
        <v>-6.3806000000000004E-6</v>
      </c>
      <c r="E9" s="2">
        <f t="shared" si="1"/>
        <v>5.1974153627032837</v>
      </c>
      <c r="F9" s="1">
        <v>-4.2120999999999999E-5</v>
      </c>
      <c r="G9" s="2">
        <f t="shared" si="2"/>
        <v>34.310305064167167</v>
      </c>
      <c r="H9" s="1">
        <v>-5.5435999999999997E-6</v>
      </c>
      <c r="I9" s="2">
        <f t="shared" si="3"/>
        <v>4.5156242053540296</v>
      </c>
      <c r="J9" s="1">
        <v>-4.231E-5</v>
      </c>
      <c r="K9" s="2">
        <f t="shared" si="4"/>
        <v>34.46425790614925</v>
      </c>
      <c r="L9" s="1">
        <v>-4.8740999999999996E-6</v>
      </c>
      <c r="M9" s="2">
        <f t="shared" si="5"/>
        <v>3.9702727360047754</v>
      </c>
      <c r="N9" s="1">
        <v>-4.2305000000000002E-5</v>
      </c>
      <c r="O9" s="2">
        <f t="shared" si="6"/>
        <v>34.460185079641796</v>
      </c>
      <c r="P9" s="1">
        <v>-4.3306999999999999E-6</v>
      </c>
      <c r="Q9" s="2">
        <f t="shared" si="7"/>
        <v>3.5276379511737312</v>
      </c>
      <c r="R9" s="1">
        <v>-4.2123999999999999E-5</v>
      </c>
      <c r="S9" s="2">
        <f t="shared" si="8"/>
        <v>34.312748760071635</v>
      </c>
      <c r="T9" s="1">
        <v>-3.8831000000000001E-6</v>
      </c>
      <c r="U9" s="2">
        <f t="shared" si="9"/>
        <v>3.1630385222256714</v>
      </c>
      <c r="V9" s="1">
        <v>-4.1686E-5</v>
      </c>
      <c r="W9" s="2">
        <f t="shared" si="10"/>
        <v>33.955969158017908</v>
      </c>
      <c r="X9" s="1">
        <v>-3.5172E-6</v>
      </c>
      <c r="Y9" s="2">
        <f t="shared" si="11"/>
        <v>2.8649890784095517</v>
      </c>
      <c r="Z9" s="1">
        <v>-4.0274000000000001E-5</v>
      </c>
      <c r="AA9" s="2">
        <f t="shared" si="12"/>
        <v>32.805802952310451</v>
      </c>
      <c r="AB9" s="1">
        <v>-2.9633000000000001E-6</v>
      </c>
      <c r="AC9" s="2">
        <f t="shared" si="13"/>
        <v>2.4138013579128357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8">
      <c r="A10">
        <f t="shared" si="14"/>
        <v>680</v>
      </c>
      <c r="B10" s="1">
        <v>-2.4236E-5</v>
      </c>
      <c r="C10" s="2">
        <f t="shared" si="0"/>
        <v>19.4514839904</v>
      </c>
      <c r="D10" s="1">
        <v>-9.8292999999999992E-6</v>
      </c>
      <c r="E10" s="2">
        <f t="shared" si="1"/>
        <v>7.8888625015199993</v>
      </c>
      <c r="F10" s="1">
        <v>-2.4323000000000001E-5</v>
      </c>
      <c r="G10" s="2">
        <f t="shared" si="2"/>
        <v>19.521309007199999</v>
      </c>
      <c r="H10" s="1">
        <v>-8.4380999999999997E-6</v>
      </c>
      <c r="I10" s="2">
        <f t="shared" si="3"/>
        <v>6.7723043018400002</v>
      </c>
      <c r="J10" s="1">
        <v>-2.4430000000000002E-5</v>
      </c>
      <c r="K10" s="2">
        <f t="shared" si="4"/>
        <v>19.607185751999999</v>
      </c>
      <c r="L10" s="1">
        <v>-7.3390000000000004E-6</v>
      </c>
      <c r="M10" s="2">
        <f t="shared" si="5"/>
        <v>5.8901815896</v>
      </c>
      <c r="N10" s="1">
        <v>-2.4556E-5</v>
      </c>
      <c r="O10" s="2">
        <f t="shared" si="6"/>
        <v>19.708311638400001</v>
      </c>
      <c r="P10" s="1">
        <v>-6.4558000000000001E-6</v>
      </c>
      <c r="Q10" s="2">
        <f t="shared" si="7"/>
        <v>5.1813372811200002</v>
      </c>
      <c r="R10" s="1">
        <v>-2.4712E-5</v>
      </c>
      <c r="S10" s="2">
        <f t="shared" si="8"/>
        <v>19.833515116799997</v>
      </c>
      <c r="T10" s="1">
        <v>-5.7350000000000001E-6</v>
      </c>
      <c r="U10" s="2">
        <f t="shared" si="9"/>
        <v>4.6028330039999998</v>
      </c>
      <c r="V10" s="1">
        <v>-2.4842999999999999E-5</v>
      </c>
      <c r="W10" s="2">
        <f t="shared" si="10"/>
        <v>19.938653935200001</v>
      </c>
      <c r="X10" s="1">
        <v>-5.1517000000000002E-6</v>
      </c>
      <c r="Y10" s="2">
        <f t="shared" si="11"/>
        <v>4.1346843568800002</v>
      </c>
      <c r="Z10" s="1">
        <v>-2.5082000000000001E-5</v>
      </c>
      <c r="AA10" s="2">
        <f t="shared" si="12"/>
        <v>20.130472084800001</v>
      </c>
      <c r="AB10" s="1">
        <v>-4.2795999999999996E-6</v>
      </c>
      <c r="AC10" s="2">
        <f t="shared" si="13"/>
        <v>3.4347487574399995</v>
      </c>
    </row>
    <row r="11" spans="1:58">
      <c r="A11">
        <f t="shared" si="14"/>
        <v>690</v>
      </c>
      <c r="B11" s="1">
        <v>-1.5651999999999999E-5</v>
      </c>
      <c r="C11" s="2">
        <f t="shared" si="0"/>
        <v>12.380023168556521</v>
      </c>
      <c r="D11" s="1">
        <v>-1.6790999999999999E-5</v>
      </c>
      <c r="E11" s="2">
        <f t="shared" si="1"/>
        <v>13.280920586713043</v>
      </c>
      <c r="F11" s="1">
        <v>-1.5463000000000001E-5</v>
      </c>
      <c r="G11" s="2">
        <f t="shared" si="2"/>
        <v>12.230532727791305</v>
      </c>
      <c r="H11" s="1">
        <v>-1.4173E-5</v>
      </c>
      <c r="I11" s="2">
        <f t="shared" si="3"/>
        <v>11.210201147965217</v>
      </c>
      <c r="J11" s="1">
        <v>-1.5308999999999999E-5</v>
      </c>
      <c r="K11" s="2">
        <f t="shared" si="4"/>
        <v>12.108725701982609</v>
      </c>
      <c r="L11" s="1">
        <v>-1.2143999999999999E-5</v>
      </c>
      <c r="M11" s="2">
        <f t="shared" si="5"/>
        <v>9.6053540351999995</v>
      </c>
      <c r="N11" s="1">
        <v>-1.519E-5</v>
      </c>
      <c r="O11" s="2">
        <f t="shared" si="6"/>
        <v>12.014602091130435</v>
      </c>
      <c r="P11" s="1">
        <v>-1.0542E-5</v>
      </c>
      <c r="Q11" s="2">
        <f t="shared" si="7"/>
        <v>8.3382445849043485</v>
      </c>
      <c r="R11" s="1">
        <v>-1.5108E-5</v>
      </c>
      <c r="S11" s="2">
        <f t="shared" si="8"/>
        <v>11.949743804660871</v>
      </c>
      <c r="T11" s="1">
        <v>-9.2521000000000007E-6</v>
      </c>
      <c r="U11" s="2">
        <f t="shared" si="9"/>
        <v>7.3179921005495654</v>
      </c>
      <c r="V11" s="1">
        <v>-1.5038000000000001E-5</v>
      </c>
      <c r="W11" s="2">
        <f t="shared" si="10"/>
        <v>11.894376974747827</v>
      </c>
      <c r="X11" s="1">
        <v>-8.2246000000000008E-6</v>
      </c>
      <c r="Y11" s="2">
        <f t="shared" si="11"/>
        <v>6.5052861328973917</v>
      </c>
      <c r="Z11" s="1">
        <v>-1.4958E-5</v>
      </c>
      <c r="AA11" s="2">
        <f t="shared" si="12"/>
        <v>11.831100597704348</v>
      </c>
      <c r="AB11" s="1">
        <v>-6.7109000000000004E-6</v>
      </c>
      <c r="AC11" s="2">
        <f t="shared" si="13"/>
        <v>5.3080179837634782</v>
      </c>
    </row>
    <row r="12" spans="1:58">
      <c r="A12">
        <f t="shared" si="14"/>
        <v>700</v>
      </c>
      <c r="B12" s="1">
        <v>-1.1214E-5</v>
      </c>
      <c r="C12" s="2">
        <f t="shared" si="0"/>
        <v>8.7430552070399994</v>
      </c>
      <c r="D12" s="1">
        <v>-3.2731000000000002E-5</v>
      </c>
      <c r="E12" s="2">
        <f t="shared" si="1"/>
        <v>25.518899588160004</v>
      </c>
      <c r="F12" s="1">
        <v>-1.0927999999999999E-5</v>
      </c>
      <c r="G12" s="2">
        <f t="shared" si="2"/>
        <v>8.5200737740800001</v>
      </c>
      <c r="H12" s="1">
        <v>-2.705E-5</v>
      </c>
      <c r="I12" s="2">
        <f t="shared" si="3"/>
        <v>21.089677488</v>
      </c>
      <c r="J12" s="1">
        <v>-1.0679999999999999E-5</v>
      </c>
      <c r="K12" s="2">
        <f t="shared" si="4"/>
        <v>8.3267192447999996</v>
      </c>
      <c r="L12" s="1">
        <v>-2.2739999999999999E-5</v>
      </c>
      <c r="M12" s="2">
        <f t="shared" si="5"/>
        <v>17.729362886400001</v>
      </c>
      <c r="N12" s="1">
        <v>-1.0468E-5</v>
      </c>
      <c r="O12" s="2">
        <f t="shared" si="6"/>
        <v>8.161432308480002</v>
      </c>
      <c r="P12" s="1">
        <v>-1.9398E-5</v>
      </c>
      <c r="Q12" s="2">
        <f t="shared" si="7"/>
        <v>15.123754673280001</v>
      </c>
      <c r="R12" s="1">
        <v>-1.029E-5</v>
      </c>
      <c r="S12" s="2">
        <f t="shared" si="8"/>
        <v>8.0226536543999991</v>
      </c>
      <c r="T12" s="1">
        <v>-1.6753999999999999E-5</v>
      </c>
      <c r="U12" s="2">
        <f t="shared" si="9"/>
        <v>13.062345901440001</v>
      </c>
      <c r="V12" s="1">
        <v>-1.0131E-5</v>
      </c>
      <c r="W12" s="2">
        <f t="shared" si="10"/>
        <v>7.89868845216</v>
      </c>
      <c r="X12" s="1">
        <v>-1.4684E-5</v>
      </c>
      <c r="Y12" s="2">
        <f t="shared" si="11"/>
        <v>11.44845930624</v>
      </c>
      <c r="Z12" s="1">
        <v>-9.8779000000000008E-6</v>
      </c>
      <c r="AA12" s="2">
        <f t="shared" si="12"/>
        <v>7.7013576805440005</v>
      </c>
      <c r="AB12" s="1">
        <v>-1.1693E-5</v>
      </c>
      <c r="AC12" s="2">
        <f t="shared" si="13"/>
        <v>9.1165101244800013</v>
      </c>
    </row>
    <row r="13" spans="1:58">
      <c r="A13">
        <f t="shared" si="14"/>
        <v>710</v>
      </c>
      <c r="B13" s="1">
        <v>-8.8888000000000003E-6</v>
      </c>
      <c r="C13" s="2">
        <f t="shared" si="0"/>
        <v>6.8325921053205647</v>
      </c>
      <c r="D13" s="1">
        <v>-7.0235999999999996E-5</v>
      </c>
      <c r="E13" s="2">
        <f t="shared" si="1"/>
        <v>53.988608035876062</v>
      </c>
      <c r="F13" s="1">
        <v>-8.5825999999999998E-6</v>
      </c>
      <c r="G13" s="2">
        <f t="shared" si="2"/>
        <v>6.5972240350918314</v>
      </c>
      <c r="H13" s="1">
        <v>-5.7371999999999999E-5</v>
      </c>
      <c r="I13" s="2">
        <f t="shared" si="3"/>
        <v>44.100381858794371</v>
      </c>
      <c r="J13" s="1">
        <v>-8.3080999999999993E-6</v>
      </c>
      <c r="K13" s="2">
        <f t="shared" si="4"/>
        <v>6.3862229401284507</v>
      </c>
      <c r="L13" s="1">
        <v>-4.7571000000000002E-5</v>
      </c>
      <c r="M13" s="2">
        <f t="shared" si="5"/>
        <v>36.566605058298599</v>
      </c>
      <c r="N13" s="1">
        <v>-8.0648999999999996E-6</v>
      </c>
      <c r="O13" s="2">
        <f t="shared" si="6"/>
        <v>6.1992813507109865</v>
      </c>
      <c r="P13" s="1">
        <v>-4.0000999999999999E-5</v>
      </c>
      <c r="Q13" s="2">
        <f t="shared" si="7"/>
        <v>30.747740617960567</v>
      </c>
      <c r="R13" s="1">
        <v>-7.8540999999999999E-6</v>
      </c>
      <c r="S13" s="2">
        <f t="shared" si="8"/>
        <v>6.0372448085678876</v>
      </c>
      <c r="T13" s="1">
        <v>-3.4053000000000001E-5</v>
      </c>
      <c r="U13" s="2">
        <f t="shared" si="9"/>
        <v>26.175665889938031</v>
      </c>
      <c r="V13" s="1">
        <v>-7.6657000000000001E-6</v>
      </c>
      <c r="W13" s="2">
        <f t="shared" si="10"/>
        <v>5.8924265707132397</v>
      </c>
      <c r="X13" s="1">
        <v>-2.9428999999999999E-5</v>
      </c>
      <c r="Y13" s="2">
        <f t="shared" si="11"/>
        <v>22.621315933250703</v>
      </c>
      <c r="Z13" s="1">
        <v>-7.3548000000000003E-6</v>
      </c>
      <c r="AA13" s="2">
        <f t="shared" si="12"/>
        <v>5.6534457312811277</v>
      </c>
      <c r="AB13" s="1">
        <v>-2.2844999999999999E-5</v>
      </c>
      <c r="AC13" s="2">
        <f t="shared" si="13"/>
        <v>17.560364351323944</v>
      </c>
    </row>
    <row r="14" spans="1:58">
      <c r="A14">
        <f t="shared" si="14"/>
        <v>720</v>
      </c>
      <c r="B14" s="1">
        <v>-7.5952999999999999E-6</v>
      </c>
      <c r="C14" s="2">
        <f t="shared" si="0"/>
        <v>5.7572242348133331</v>
      </c>
      <c r="D14" s="1">
        <v>-1.1471E-4</v>
      </c>
      <c r="E14" s="2">
        <f t="shared" si="1"/>
        <v>86.949981169333341</v>
      </c>
      <c r="F14" s="1">
        <v>-7.2683000000000004E-6</v>
      </c>
      <c r="G14" s="2">
        <f t="shared" si="2"/>
        <v>5.5093588016133337</v>
      </c>
      <c r="H14" s="1">
        <v>-1.0185E-4</v>
      </c>
      <c r="I14" s="2">
        <f t="shared" si="3"/>
        <v>77.202123459999996</v>
      </c>
      <c r="J14" s="1">
        <v>-6.9856999999999999E-6</v>
      </c>
      <c r="K14" s="2">
        <f t="shared" si="4"/>
        <v>5.2951484914533333</v>
      </c>
      <c r="L14" s="1">
        <v>-8.9227000000000005E-5</v>
      </c>
      <c r="M14" s="2">
        <f t="shared" si="5"/>
        <v>67.633911339866671</v>
      </c>
      <c r="N14" s="1">
        <v>-6.7379000000000003E-6</v>
      </c>
      <c r="O14" s="2">
        <f t="shared" si="6"/>
        <v>5.1073165209733329</v>
      </c>
      <c r="P14" s="1">
        <v>-7.7742000000000002E-5</v>
      </c>
      <c r="Q14" s="2">
        <f t="shared" si="7"/>
        <v>58.928301247199997</v>
      </c>
      <c r="R14" s="1">
        <v>-6.5177000000000003E-6</v>
      </c>
      <c r="S14" s="2">
        <f t="shared" si="8"/>
        <v>4.9404053026533337</v>
      </c>
      <c r="T14" s="1">
        <v>-6.7698000000000001E-5</v>
      </c>
      <c r="U14" s="2">
        <f t="shared" si="9"/>
        <v>51.314966656800003</v>
      </c>
      <c r="V14" s="1">
        <v>-6.3191000000000002E-6</v>
      </c>
      <c r="W14" s="2">
        <f t="shared" si="10"/>
        <v>4.7898668468933332</v>
      </c>
      <c r="X14" s="1">
        <v>-5.9252999999999997E-5</v>
      </c>
      <c r="Y14" s="2">
        <f t="shared" si="11"/>
        <v>44.913671294799997</v>
      </c>
      <c r="Z14" s="1">
        <v>-5.9873999999999996E-6</v>
      </c>
      <c r="AA14" s="2">
        <f t="shared" si="12"/>
        <v>4.5384388218399998</v>
      </c>
      <c r="AB14" s="1">
        <v>-4.6390000000000001E-5</v>
      </c>
      <c r="AC14" s="2">
        <f t="shared" si="13"/>
        <v>35.163539590666666</v>
      </c>
    </row>
    <row r="15" spans="1:58">
      <c r="A15">
        <f t="shared" si="14"/>
        <v>730</v>
      </c>
      <c r="B15" s="1">
        <v>-6.7376999999999999E-6</v>
      </c>
      <c r="C15" s="2">
        <f t="shared" si="0"/>
        <v>5.0372037580142468</v>
      </c>
      <c r="D15" s="1">
        <v>-8.2589999999999994E-5</v>
      </c>
      <c r="E15" s="2">
        <f t="shared" si="1"/>
        <v>61.745500448876705</v>
      </c>
      <c r="F15" s="1">
        <v>-6.4227000000000004E-6</v>
      </c>
      <c r="G15" s="2">
        <f t="shared" si="2"/>
        <v>4.8017051184526025</v>
      </c>
      <c r="H15" s="1">
        <v>-8.3112E-5</v>
      </c>
      <c r="I15" s="2">
        <f t="shared" si="3"/>
        <v>62.135755337293155</v>
      </c>
      <c r="J15" s="1">
        <v>-6.1342999999999999E-6</v>
      </c>
      <c r="K15" s="2">
        <f t="shared" si="4"/>
        <v>4.5860930306761638</v>
      </c>
      <c r="L15" s="1">
        <v>-8.2640999999999997E-5</v>
      </c>
      <c r="M15" s="2">
        <f t="shared" si="5"/>
        <v>61.783628800043829</v>
      </c>
      <c r="N15" s="1">
        <v>-5.8772000000000002E-6</v>
      </c>
      <c r="O15" s="2">
        <f t="shared" si="6"/>
        <v>4.3938812839101367</v>
      </c>
      <c r="P15" s="1">
        <v>-8.1124999999999993E-5</v>
      </c>
      <c r="Q15" s="2">
        <f t="shared" si="7"/>
        <v>60.650244871232871</v>
      </c>
      <c r="R15" s="1">
        <v>-5.6543000000000002E-6</v>
      </c>
      <c r="S15" s="2">
        <f t="shared" si="8"/>
        <v>4.2272379608679458</v>
      </c>
      <c r="T15" s="1">
        <v>-7.8707000000000004E-5</v>
      </c>
      <c r="U15" s="2">
        <f t="shared" si="9"/>
        <v>58.842512457073973</v>
      </c>
      <c r="V15" s="1">
        <v>-5.4555999999999999E-6</v>
      </c>
      <c r="W15" s="2">
        <f t="shared" si="10"/>
        <v>4.078686914261918</v>
      </c>
      <c r="X15" s="1">
        <v>-7.5457000000000006E-5</v>
      </c>
      <c r="Y15" s="2">
        <f t="shared" si="11"/>
        <v>56.412764588580828</v>
      </c>
      <c r="Z15" s="1">
        <v>-5.1196000000000001E-6</v>
      </c>
      <c r="AA15" s="2">
        <f t="shared" si="12"/>
        <v>3.8274883653961647</v>
      </c>
      <c r="AB15" s="1">
        <v>-6.7815E-5</v>
      </c>
      <c r="AC15" s="2">
        <f t="shared" si="13"/>
        <v>50.699492831342461</v>
      </c>
    </row>
    <row r="16" spans="1:58">
      <c r="A16">
        <f t="shared" si="14"/>
        <v>740</v>
      </c>
      <c r="B16" s="1">
        <v>-6.1747999999999997E-6</v>
      </c>
      <c r="C16" s="2">
        <f t="shared" si="0"/>
        <v>4.5539880295264865</v>
      </c>
      <c r="D16" s="1">
        <v>-4.8226999999999998E-5</v>
      </c>
      <c r="E16" s="2">
        <f t="shared" si="1"/>
        <v>35.567982882032432</v>
      </c>
      <c r="F16" s="1">
        <v>-5.8401000000000002E-6</v>
      </c>
      <c r="G16" s="2">
        <f t="shared" si="2"/>
        <v>4.3071428210205411</v>
      </c>
      <c r="H16" s="1">
        <v>-4.8899000000000001E-5</v>
      </c>
      <c r="I16" s="2">
        <f t="shared" si="3"/>
        <v>36.063590829794599</v>
      </c>
      <c r="J16" s="1">
        <v>-5.5550000000000002E-6</v>
      </c>
      <c r="K16" s="2">
        <f t="shared" si="4"/>
        <v>4.0968781991351353</v>
      </c>
      <c r="L16" s="1">
        <v>-4.9431000000000002E-5</v>
      </c>
      <c r="M16" s="2">
        <f t="shared" si="5"/>
        <v>36.455947121772972</v>
      </c>
      <c r="N16" s="1">
        <v>-5.3071999999999998E-6</v>
      </c>
      <c r="O16" s="2">
        <f t="shared" si="6"/>
        <v>3.9141227683978377</v>
      </c>
      <c r="P16" s="1">
        <v>-4.9904000000000002E-5</v>
      </c>
      <c r="Q16" s="2">
        <f t="shared" si="7"/>
        <v>36.804790215956757</v>
      </c>
      <c r="R16" s="1">
        <v>-5.0803999999999997E-6</v>
      </c>
      <c r="S16" s="2">
        <f t="shared" si="8"/>
        <v>3.7468550860281078</v>
      </c>
      <c r="T16" s="1">
        <v>-5.0321999999999997E-5</v>
      </c>
      <c r="U16" s="2">
        <f t="shared" si="9"/>
        <v>37.113070159654058</v>
      </c>
      <c r="V16" s="1">
        <v>-4.8770000000000001E-6</v>
      </c>
      <c r="W16" s="2">
        <f t="shared" si="10"/>
        <v>3.5968451804108112</v>
      </c>
      <c r="X16" s="1">
        <v>-5.0470999999999998E-5</v>
      </c>
      <c r="Y16" s="2">
        <f t="shared" si="11"/>
        <v>37.222959421881079</v>
      </c>
      <c r="Z16" s="1">
        <v>-4.5403000000000004E-6</v>
      </c>
      <c r="AA16" s="2">
        <f t="shared" si="12"/>
        <v>3.348524948250811</v>
      </c>
      <c r="AB16" s="1">
        <v>-5.0234E-5</v>
      </c>
      <c r="AC16" s="2">
        <f t="shared" si="13"/>
        <v>37.048169118875677</v>
      </c>
    </row>
    <row r="17" spans="1:29">
      <c r="A17">
        <f t="shared" si="14"/>
        <v>750</v>
      </c>
      <c r="B17" s="1">
        <v>-5.7660999999999997E-6</v>
      </c>
      <c r="C17" s="2">
        <f t="shared" si="0"/>
        <v>4.1958660532095999</v>
      </c>
      <c r="D17" s="1">
        <v>-3.1025000000000002E-5</v>
      </c>
      <c r="E17" s="2">
        <f t="shared" si="1"/>
        <v>22.576220374400002</v>
      </c>
      <c r="F17" s="1">
        <v>-5.4485999999999998E-6</v>
      </c>
      <c r="G17" s="2">
        <f t="shared" si="2"/>
        <v>3.9648281815296</v>
      </c>
      <c r="H17" s="1">
        <v>-3.0910000000000001E-5</v>
      </c>
      <c r="I17" s="2">
        <f t="shared" si="3"/>
        <v>22.492537365760004</v>
      </c>
      <c r="J17" s="1">
        <v>-5.1633000000000002E-6</v>
      </c>
      <c r="K17" s="2">
        <f t="shared" si="4"/>
        <v>3.7572215522688004</v>
      </c>
      <c r="L17" s="1">
        <v>-3.0883000000000002E-5</v>
      </c>
      <c r="M17" s="2">
        <f t="shared" si="5"/>
        <v>22.472890050688004</v>
      </c>
      <c r="N17" s="1">
        <v>-4.9015999999999998E-6</v>
      </c>
      <c r="O17" s="2">
        <f t="shared" si="6"/>
        <v>3.5667881317376002</v>
      </c>
      <c r="P17" s="1">
        <v>-3.0831999999999999E-5</v>
      </c>
      <c r="Q17" s="2">
        <f t="shared" si="7"/>
        <v>22.435778455552001</v>
      </c>
      <c r="R17" s="1">
        <v>-4.6805999999999997E-6</v>
      </c>
      <c r="S17" s="2">
        <f t="shared" si="8"/>
        <v>3.4059712194816001</v>
      </c>
      <c r="T17" s="1">
        <v>-3.0824000000000002E-5</v>
      </c>
      <c r="U17" s="2">
        <f t="shared" si="9"/>
        <v>22.429957028864003</v>
      </c>
      <c r="V17" s="1">
        <v>-4.4834000000000001E-6</v>
      </c>
      <c r="W17" s="2">
        <f t="shared" si="10"/>
        <v>3.2624730516224005</v>
      </c>
      <c r="X17" s="1">
        <v>-3.0796000000000001E-5</v>
      </c>
      <c r="Y17" s="2">
        <f t="shared" si="11"/>
        <v>22.409582035456001</v>
      </c>
      <c r="Z17" s="1">
        <v>-4.1423000000000001E-6</v>
      </c>
      <c r="AA17" s="2">
        <f t="shared" si="12"/>
        <v>3.0142619712128003</v>
      </c>
      <c r="AB17" s="1">
        <v>-3.0679999999999998E-5</v>
      </c>
      <c r="AC17" s="2">
        <f t="shared" si="13"/>
        <v>22.325171348480001</v>
      </c>
    </row>
    <row r="18" spans="1:29">
      <c r="A18">
        <f t="shared" si="14"/>
        <v>760</v>
      </c>
      <c r="B18" s="1">
        <v>-5.5250999999999998E-6</v>
      </c>
      <c r="C18" s="2">
        <f t="shared" si="0"/>
        <v>3.9675943166778946</v>
      </c>
      <c r="D18" s="1">
        <v>-2.2277999999999999E-5</v>
      </c>
      <c r="E18" s="2">
        <f t="shared" si="1"/>
        <v>15.997912469810526</v>
      </c>
      <c r="F18" s="1">
        <v>-5.1967999999999999E-6</v>
      </c>
      <c r="G18" s="2">
        <f t="shared" si="2"/>
        <v>3.7318408978863165</v>
      </c>
      <c r="H18" s="1">
        <v>-2.1923999999999999E-5</v>
      </c>
      <c r="I18" s="2">
        <f t="shared" si="3"/>
        <v>15.743703787957896</v>
      </c>
      <c r="J18" s="1">
        <v>-4.8986E-6</v>
      </c>
      <c r="K18" s="2">
        <f t="shared" si="4"/>
        <v>3.5177023980884217</v>
      </c>
      <c r="L18" s="1">
        <v>-2.1540999999999999E-5</v>
      </c>
      <c r="M18" s="2">
        <f t="shared" si="5"/>
        <v>15.468670101094739</v>
      </c>
      <c r="N18" s="1">
        <v>-4.6535000000000004E-6</v>
      </c>
      <c r="O18" s="2">
        <f t="shared" si="6"/>
        <v>3.3416952005684215</v>
      </c>
      <c r="P18" s="1">
        <v>-2.1243999999999999E-5</v>
      </c>
      <c r="Q18" s="2">
        <f t="shared" si="7"/>
        <v>15.255393325642107</v>
      </c>
      <c r="R18" s="1">
        <v>-4.4221999999999998E-6</v>
      </c>
      <c r="S18" s="2">
        <f t="shared" si="8"/>
        <v>3.1755978330189474</v>
      </c>
      <c r="T18" s="1">
        <v>-2.1001000000000001E-5</v>
      </c>
      <c r="U18" s="2">
        <f t="shared" si="9"/>
        <v>15.080894145726319</v>
      </c>
      <c r="V18" s="1">
        <v>-4.2162000000000004E-6</v>
      </c>
      <c r="W18" s="2">
        <f t="shared" si="10"/>
        <v>3.027668487082106</v>
      </c>
      <c r="X18" s="1">
        <v>-2.0729000000000001E-5</v>
      </c>
      <c r="Y18" s="2">
        <f t="shared" si="11"/>
        <v>14.885569960800002</v>
      </c>
      <c r="Z18" s="1">
        <v>-3.8820000000000003E-6</v>
      </c>
      <c r="AA18" s="2">
        <f t="shared" si="12"/>
        <v>2.7876782569263163</v>
      </c>
      <c r="AB18" s="1">
        <v>-2.0278000000000001E-5</v>
      </c>
      <c r="AC18" s="2">
        <f t="shared" si="13"/>
        <v>14.561705227705266</v>
      </c>
    </row>
    <row r="19" spans="1:29">
      <c r="A19">
        <f t="shared" si="14"/>
        <v>770</v>
      </c>
      <c r="B19" s="1">
        <v>-5.3986999999999997E-6</v>
      </c>
      <c r="C19" s="2">
        <f t="shared" si="0"/>
        <v>3.8264776291199998</v>
      </c>
      <c r="D19" s="1">
        <v>-1.7535000000000001E-5</v>
      </c>
      <c r="E19" s="2">
        <f t="shared" si="1"/>
        <v>12.428415215999999</v>
      </c>
      <c r="F19" s="1">
        <v>-5.0471999999999997E-6</v>
      </c>
      <c r="G19" s="2">
        <f t="shared" si="2"/>
        <v>3.5773423027199995</v>
      </c>
      <c r="H19" s="1">
        <v>-1.6988999999999999E-5</v>
      </c>
      <c r="I19" s="2">
        <f t="shared" si="3"/>
        <v>12.041422646399999</v>
      </c>
      <c r="J19" s="1">
        <v>-4.7688E-6</v>
      </c>
      <c r="K19" s="2">
        <f t="shared" si="4"/>
        <v>3.3800186188799999</v>
      </c>
      <c r="L19" s="1">
        <v>-1.6554000000000001E-5</v>
      </c>
      <c r="M19" s="2">
        <f t="shared" si="5"/>
        <v>11.733104390399999</v>
      </c>
      <c r="N19" s="1">
        <v>-4.4955999999999998E-6</v>
      </c>
      <c r="O19" s="2">
        <f t="shared" si="6"/>
        <v>3.1863805785599992</v>
      </c>
      <c r="P19" s="1">
        <v>-1.6144999999999999E-5</v>
      </c>
      <c r="Q19" s="2">
        <f t="shared" si="7"/>
        <v>11.443214352</v>
      </c>
      <c r="R19" s="1">
        <v>-4.2674E-6</v>
      </c>
      <c r="S19" s="2">
        <f t="shared" si="8"/>
        <v>3.0246375302399997</v>
      </c>
      <c r="T19" s="1">
        <v>-1.577E-5</v>
      </c>
      <c r="U19" s="2">
        <f t="shared" si="9"/>
        <v>11.177422752</v>
      </c>
      <c r="V19" s="1">
        <v>-4.0686000000000003E-6</v>
      </c>
      <c r="W19" s="2">
        <f t="shared" si="10"/>
        <v>2.8837325433599998</v>
      </c>
      <c r="X19" s="1">
        <v>-1.5451000000000002E-5</v>
      </c>
      <c r="Y19" s="2">
        <f t="shared" si="11"/>
        <v>10.9513226976</v>
      </c>
      <c r="Z19" s="1">
        <v>-3.7162999999999999E-6</v>
      </c>
      <c r="AA19" s="2">
        <f t="shared" si="12"/>
        <v>2.6340301948799998</v>
      </c>
      <c r="AB19" s="1">
        <v>-1.4844999999999999E-5</v>
      </c>
      <c r="AC19" s="2">
        <f t="shared" si="13"/>
        <v>10.521803471999998</v>
      </c>
    </row>
    <row r="20" spans="1:29">
      <c r="A20">
        <f t="shared" si="14"/>
        <v>780</v>
      </c>
      <c r="B20" s="1">
        <v>-5.3059000000000003E-6</v>
      </c>
      <c r="C20" s="2">
        <f t="shared" si="0"/>
        <v>3.7124889259446157</v>
      </c>
      <c r="D20" s="1">
        <v>-1.4565E-5</v>
      </c>
      <c r="E20" s="2">
        <f t="shared" si="1"/>
        <v>10.190995157538461</v>
      </c>
      <c r="F20" s="1">
        <v>-4.9850999999999999E-6</v>
      </c>
      <c r="G20" s="2">
        <f t="shared" si="2"/>
        <v>3.488028146916923</v>
      </c>
      <c r="H20" s="1">
        <v>-1.4024E-5</v>
      </c>
      <c r="I20" s="2">
        <f t="shared" si="3"/>
        <v>9.8124624846769226</v>
      </c>
      <c r="J20" s="1">
        <v>-4.6667999999999999E-6</v>
      </c>
      <c r="K20" s="2">
        <f t="shared" si="4"/>
        <v>3.2653165946584615</v>
      </c>
      <c r="L20" s="1">
        <v>-1.3536000000000001E-5</v>
      </c>
      <c r="M20" s="2">
        <f t="shared" si="5"/>
        <v>9.4710134193230768</v>
      </c>
      <c r="N20" s="1">
        <v>-4.4069000000000001E-6</v>
      </c>
      <c r="O20" s="2">
        <f t="shared" si="6"/>
        <v>3.0834669797292307</v>
      </c>
      <c r="P20" s="1">
        <v>-1.3077E-5</v>
      </c>
      <c r="Q20" s="2">
        <f t="shared" si="7"/>
        <v>9.149855384492307</v>
      </c>
      <c r="R20" s="1">
        <v>-4.1756999999999997E-6</v>
      </c>
      <c r="S20" s="2">
        <f t="shared" si="8"/>
        <v>2.9216984881107688</v>
      </c>
      <c r="T20" s="1">
        <v>-1.2711000000000001E-5</v>
      </c>
      <c r="U20" s="2">
        <f t="shared" si="9"/>
        <v>8.8937685854769235</v>
      </c>
      <c r="V20" s="1">
        <v>-3.9569000000000002E-6</v>
      </c>
      <c r="W20" s="2">
        <f t="shared" si="10"/>
        <v>2.7686061612676927</v>
      </c>
      <c r="X20" s="1">
        <v>-1.2326E-5</v>
      </c>
      <c r="Y20" s="2">
        <f t="shared" si="11"/>
        <v>8.6243876630153853</v>
      </c>
      <c r="Z20" s="1">
        <v>-3.6138999999999998E-6</v>
      </c>
      <c r="AA20" s="2">
        <f t="shared" si="12"/>
        <v>2.5286122485292308</v>
      </c>
      <c r="AB20" s="1">
        <v>-1.1707E-5</v>
      </c>
      <c r="AC20" s="2">
        <f t="shared" si="13"/>
        <v>8.1912791149538453</v>
      </c>
    </row>
    <row r="21" spans="1:29">
      <c r="A21">
        <f t="shared" si="14"/>
        <v>790</v>
      </c>
      <c r="B21" s="1">
        <v>-5.2923000000000001E-6</v>
      </c>
      <c r="C21" s="2">
        <f t="shared" si="0"/>
        <v>3.6561000546956963</v>
      </c>
      <c r="D21" s="1">
        <v>-1.2639E-5</v>
      </c>
      <c r="E21" s="2">
        <f t="shared" si="1"/>
        <v>8.7314491981367102</v>
      </c>
      <c r="F21" s="1">
        <v>-4.9369000000000001E-6</v>
      </c>
      <c r="G21" s="2">
        <f t="shared" si="2"/>
        <v>3.4105776996820256</v>
      </c>
      <c r="H21" s="1">
        <v>-1.2116000000000001E-5</v>
      </c>
      <c r="I21" s="2">
        <f t="shared" si="3"/>
        <v>8.3701430876354426</v>
      </c>
      <c r="J21" s="1">
        <v>-4.6256000000000002E-6</v>
      </c>
      <c r="K21" s="2">
        <f t="shared" si="4"/>
        <v>3.1955211180394936</v>
      </c>
      <c r="L21" s="1">
        <v>-1.1576000000000001E-5</v>
      </c>
      <c r="M21" s="2">
        <f t="shared" si="5"/>
        <v>7.997092801458229</v>
      </c>
      <c r="N21" s="1">
        <v>-4.3618999999999997E-6</v>
      </c>
      <c r="O21" s="2">
        <f t="shared" si="6"/>
        <v>3.0133482282896198</v>
      </c>
      <c r="P21" s="1">
        <v>-1.1163E-5</v>
      </c>
      <c r="Q21" s="2">
        <f t="shared" si="7"/>
        <v>7.7117784159189879</v>
      </c>
      <c r="R21" s="1">
        <v>-4.1080000000000003E-6</v>
      </c>
      <c r="S21" s="2">
        <f t="shared" si="8"/>
        <v>2.8379455104</v>
      </c>
      <c r="T21" s="1">
        <v>-1.0729E-5</v>
      </c>
      <c r="U21" s="2">
        <f t="shared" si="9"/>
        <v>7.4119565192506336</v>
      </c>
      <c r="V21" s="1">
        <v>-3.9071999999999996E-6</v>
      </c>
      <c r="W21" s="2">
        <f t="shared" si="10"/>
        <v>2.6992260706511391</v>
      </c>
      <c r="X21" s="1">
        <v>-1.0376E-5</v>
      </c>
      <c r="Y21" s="2">
        <f t="shared" si="11"/>
        <v>7.1680921655088614</v>
      </c>
      <c r="Z21" s="1">
        <v>-3.5381999999999999E-6</v>
      </c>
      <c r="AA21" s="2">
        <f t="shared" si="12"/>
        <v>2.4443083750967087</v>
      </c>
      <c r="AB21" s="1">
        <v>-9.7257000000000008E-6</v>
      </c>
      <c r="AC21" s="2">
        <f t="shared" si="13"/>
        <v>6.718842904210633</v>
      </c>
    </row>
    <row r="22" spans="1:29">
      <c r="A22">
        <f t="shared" si="14"/>
        <v>800</v>
      </c>
      <c r="B22" s="1">
        <v>-5.3183000000000004E-6</v>
      </c>
      <c r="C22" s="2">
        <f t="shared" si="0"/>
        <v>3.6281359634520003</v>
      </c>
      <c r="D22" s="1">
        <v>-1.1389999999999999E-5</v>
      </c>
      <c r="E22" s="2">
        <f t="shared" si="1"/>
        <v>7.7702402315999999</v>
      </c>
      <c r="F22" s="1">
        <v>-4.9242999999999996E-6</v>
      </c>
      <c r="G22" s="2">
        <f t="shared" si="2"/>
        <v>3.3593497780919996</v>
      </c>
      <c r="H22" s="1">
        <v>-1.0776E-5</v>
      </c>
      <c r="I22" s="2">
        <f t="shared" si="3"/>
        <v>7.3513703894400004</v>
      </c>
      <c r="J22" s="1">
        <v>-4.6330000000000004E-6</v>
      </c>
      <c r="K22" s="2">
        <f t="shared" si="4"/>
        <v>3.1606253725200006</v>
      </c>
      <c r="L22" s="1">
        <v>-1.0315E-5</v>
      </c>
      <c r="M22" s="2">
        <f t="shared" si="5"/>
        <v>7.0368769086000009</v>
      </c>
      <c r="N22" s="1">
        <v>-4.3286000000000004E-6</v>
      </c>
      <c r="O22" s="2">
        <f t="shared" si="6"/>
        <v>2.9529641673840006</v>
      </c>
      <c r="P22" s="1">
        <v>-9.8284000000000006E-6</v>
      </c>
      <c r="Q22" s="2">
        <f t="shared" si="7"/>
        <v>6.7049191476960015</v>
      </c>
      <c r="R22" s="1">
        <v>-4.1013E-6</v>
      </c>
      <c r="S22" s="2">
        <f t="shared" si="8"/>
        <v>2.797900461972</v>
      </c>
      <c r="T22" s="1">
        <v>-9.4462999999999997E-6</v>
      </c>
      <c r="U22" s="2">
        <f t="shared" si="9"/>
        <v>6.4442511237720002</v>
      </c>
      <c r="V22" s="1">
        <v>-3.8677000000000003E-6</v>
      </c>
      <c r="W22" s="2">
        <f t="shared" si="10"/>
        <v>2.6385389063880003</v>
      </c>
      <c r="X22" s="1">
        <v>-9.0742000000000003E-6</v>
      </c>
      <c r="Y22" s="2">
        <f t="shared" si="11"/>
        <v>6.1904050842480007</v>
      </c>
      <c r="Z22" s="1">
        <v>-3.5088000000000002E-6</v>
      </c>
      <c r="AA22" s="2">
        <f t="shared" si="12"/>
        <v>2.3936978862720002</v>
      </c>
      <c r="AB22" s="1">
        <v>-8.4512999999999999E-6</v>
      </c>
      <c r="AC22" s="2">
        <f t="shared" si="13"/>
        <v>5.7654636759720006</v>
      </c>
    </row>
    <row r="23" spans="1:29">
      <c r="A23">
        <f t="shared" si="14"/>
        <v>810</v>
      </c>
      <c r="B23" s="1">
        <v>-5.3282000000000001E-6</v>
      </c>
      <c r="C23" s="2">
        <f t="shared" si="0"/>
        <v>3.5900145461807411</v>
      </c>
      <c r="D23" s="1">
        <v>-1.0468999999999999E-5</v>
      </c>
      <c r="E23" s="2">
        <f t="shared" si="1"/>
        <v>7.0537634255407413</v>
      </c>
      <c r="F23" s="1">
        <v>-4.9788999999999999E-6</v>
      </c>
      <c r="G23" s="2">
        <f t="shared" si="2"/>
        <v>3.3546645065837044</v>
      </c>
      <c r="H23" s="1">
        <v>-9.8926999999999993E-6</v>
      </c>
      <c r="I23" s="2">
        <f t="shared" si="3"/>
        <v>6.6654661801362973</v>
      </c>
      <c r="J23" s="1">
        <v>-4.6275000000000002E-6</v>
      </c>
      <c r="K23" s="2">
        <f t="shared" si="4"/>
        <v>3.1178995368888893</v>
      </c>
      <c r="L23" s="1">
        <v>-9.3919000000000007E-6</v>
      </c>
      <c r="M23" s="2">
        <f t="shared" si="5"/>
        <v>6.3280390406281493</v>
      </c>
      <c r="N23" s="1">
        <v>-4.3572999999999998E-6</v>
      </c>
      <c r="O23" s="2">
        <f t="shared" si="6"/>
        <v>2.9358451976414814</v>
      </c>
      <c r="P23" s="1">
        <v>-8.9387999999999999E-6</v>
      </c>
      <c r="Q23" s="2">
        <f t="shared" si="7"/>
        <v>6.0227510276266676</v>
      </c>
      <c r="R23" s="1">
        <v>-4.0907999999999999E-6</v>
      </c>
      <c r="S23" s="2">
        <f t="shared" si="8"/>
        <v>2.7562838304711113</v>
      </c>
      <c r="T23" s="1">
        <v>-8.5477999999999997E-6</v>
      </c>
      <c r="U23" s="2">
        <f t="shared" si="9"/>
        <v>5.7593045189451857</v>
      </c>
      <c r="V23" s="1">
        <v>-3.8676E-6</v>
      </c>
      <c r="W23" s="2">
        <f t="shared" si="10"/>
        <v>2.6058969743644447</v>
      </c>
      <c r="X23" s="1">
        <v>-8.1658999999999992E-6</v>
      </c>
      <c r="Y23" s="2">
        <f t="shared" si="11"/>
        <v>5.5019893740207406</v>
      </c>
      <c r="Z23" s="1">
        <v>-3.4840999999999998E-6</v>
      </c>
      <c r="AA23" s="2">
        <f t="shared" si="12"/>
        <v>2.3475037874607407</v>
      </c>
      <c r="AB23" s="1">
        <v>-7.5438999999999999E-6</v>
      </c>
      <c r="AC23" s="2">
        <f t="shared" si="13"/>
        <v>5.0829005545837038</v>
      </c>
    </row>
    <row r="24" spans="1:29">
      <c r="A24">
        <f t="shared" si="14"/>
        <v>820</v>
      </c>
      <c r="B24" s="1">
        <v>-5.3892E-6</v>
      </c>
      <c r="C24" s="2">
        <f t="shared" si="0"/>
        <v>3.5868330076565855</v>
      </c>
      <c r="D24" s="1">
        <v>-9.7955999999999999E-6</v>
      </c>
      <c r="E24" s="2">
        <f t="shared" si="1"/>
        <v>6.5195541842575606</v>
      </c>
      <c r="F24" s="1">
        <v>-5.0312999999999996E-6</v>
      </c>
      <c r="G24" s="2">
        <f t="shared" si="2"/>
        <v>3.3486292791921946</v>
      </c>
      <c r="H24" s="1">
        <v>-9.2946999999999993E-6</v>
      </c>
      <c r="I24" s="2">
        <f t="shared" si="3"/>
        <v>6.1861754539199989</v>
      </c>
      <c r="J24" s="1">
        <v>-4.6716000000000003E-6</v>
      </c>
      <c r="K24" s="2">
        <f t="shared" si="4"/>
        <v>3.1092275437112198</v>
      </c>
      <c r="L24" s="1">
        <v>-8.7315999999999995E-6</v>
      </c>
      <c r="M24" s="2">
        <f t="shared" si="5"/>
        <v>5.8113989255648777</v>
      </c>
      <c r="N24" s="1">
        <v>-4.3896999999999997E-6</v>
      </c>
      <c r="O24" s="2">
        <f t="shared" si="6"/>
        <v>2.9216063337248777</v>
      </c>
      <c r="P24" s="1">
        <v>-8.3321999999999996E-6</v>
      </c>
      <c r="Q24" s="2">
        <f t="shared" si="7"/>
        <v>5.5455744797736584</v>
      </c>
      <c r="R24" s="1">
        <v>-4.1121E-6</v>
      </c>
      <c r="S24" s="2">
        <f t="shared" si="8"/>
        <v>2.7368470293892679</v>
      </c>
      <c r="T24" s="1">
        <v>-7.8877999999999993E-6</v>
      </c>
      <c r="U24" s="2">
        <f t="shared" si="9"/>
        <v>5.2497998585678047</v>
      </c>
      <c r="V24" s="1">
        <v>-3.8962000000000001E-6</v>
      </c>
      <c r="W24" s="2">
        <f t="shared" si="10"/>
        <v>2.5931527433443904</v>
      </c>
      <c r="X24" s="1">
        <v>-7.5662999999999999E-6</v>
      </c>
      <c r="Y24" s="2">
        <f t="shared" si="11"/>
        <v>5.0358224942165855</v>
      </c>
      <c r="Z24" s="1">
        <v>-3.5047999999999999E-6</v>
      </c>
      <c r="AA24" s="2">
        <f t="shared" si="12"/>
        <v>2.3326527731824389</v>
      </c>
      <c r="AB24" s="1">
        <v>-6.9368000000000002E-6</v>
      </c>
      <c r="AC24" s="2">
        <f t="shared" si="13"/>
        <v>4.6168528181385362</v>
      </c>
    </row>
    <row r="25" spans="1:29">
      <c r="A25">
        <f t="shared" si="14"/>
        <v>830</v>
      </c>
      <c r="B25" s="1">
        <v>-5.4703E-6</v>
      </c>
      <c r="C25" s="2">
        <f t="shared" si="0"/>
        <v>3.5969447000790362</v>
      </c>
      <c r="D25" s="1">
        <v>-9.3087999999999997E-6</v>
      </c>
      <c r="E25" s="2">
        <f t="shared" si="1"/>
        <v>6.1209145429127716</v>
      </c>
      <c r="F25" s="1">
        <v>-5.0331000000000001E-6</v>
      </c>
      <c r="G25" s="2">
        <f t="shared" si="2"/>
        <v>3.3094679213146985</v>
      </c>
      <c r="H25" s="1">
        <v>-8.7363999999999999E-6</v>
      </c>
      <c r="I25" s="2">
        <f t="shared" si="3"/>
        <v>5.744538266232289</v>
      </c>
      <c r="J25" s="1">
        <v>-4.7295000000000002E-6</v>
      </c>
      <c r="K25" s="2">
        <f t="shared" si="4"/>
        <v>3.10983857540241</v>
      </c>
      <c r="L25" s="1">
        <v>-8.2657999999999997E-6</v>
      </c>
      <c r="M25" s="2">
        <f t="shared" si="5"/>
        <v>5.4350996292549389</v>
      </c>
      <c r="N25" s="1">
        <v>-4.3834999999999996E-6</v>
      </c>
      <c r="O25" s="2">
        <f t="shared" si="6"/>
        <v>2.8823295052915663</v>
      </c>
      <c r="P25" s="1">
        <v>-7.7834999999999993E-6</v>
      </c>
      <c r="Q25" s="2">
        <f t="shared" si="7"/>
        <v>5.1179677664963847</v>
      </c>
      <c r="R25" s="1">
        <v>-4.1489000000000002E-6</v>
      </c>
      <c r="S25" s="2">
        <f t="shared" si="8"/>
        <v>2.7280704652684338</v>
      </c>
      <c r="T25" s="1">
        <v>-7.4239000000000002E-6</v>
      </c>
      <c r="U25" s="2">
        <f t="shared" si="9"/>
        <v>4.8815161433407228</v>
      </c>
      <c r="V25" s="1">
        <v>-3.8802999999999999E-6</v>
      </c>
      <c r="W25" s="2">
        <f t="shared" si="10"/>
        <v>2.5514550426332527</v>
      </c>
      <c r="X25" s="1">
        <v>-7.0350999999999998E-6</v>
      </c>
      <c r="Y25" s="2">
        <f t="shared" si="11"/>
        <v>4.6258643327653006</v>
      </c>
      <c r="Z25" s="1">
        <v>-3.4875999999999999E-6</v>
      </c>
      <c r="AA25" s="2">
        <f t="shared" si="12"/>
        <v>2.2932388234640961</v>
      </c>
      <c r="AB25" s="1">
        <v>-6.4384000000000001E-6</v>
      </c>
      <c r="AC25" s="2">
        <f t="shared" si="13"/>
        <v>4.2335098179238555</v>
      </c>
    </row>
    <row r="26" spans="1:29">
      <c r="A26">
        <f t="shared" si="14"/>
        <v>840</v>
      </c>
      <c r="B26" s="1">
        <v>-5.5392999999999996E-6</v>
      </c>
      <c r="C26" s="2">
        <f t="shared" si="0"/>
        <v>3.5989541130399996</v>
      </c>
      <c r="D26" s="1">
        <v>-8.9870000000000005E-6</v>
      </c>
      <c r="E26" s="2">
        <f t="shared" si="1"/>
        <v>5.8389689336000004</v>
      </c>
      <c r="F26" s="1">
        <v>-5.0854999999999998E-6</v>
      </c>
      <c r="G26" s="2">
        <f t="shared" si="2"/>
        <v>3.3041144443999997</v>
      </c>
      <c r="H26" s="1">
        <v>-8.3332000000000001E-6</v>
      </c>
      <c r="I26" s="2">
        <f t="shared" si="3"/>
        <v>5.4141867049600005</v>
      </c>
      <c r="J26" s="1">
        <v>-4.7454999999999997E-6</v>
      </c>
      <c r="K26" s="2">
        <f t="shared" si="4"/>
        <v>3.0832120923999997</v>
      </c>
      <c r="L26" s="1">
        <v>-7.8961000000000005E-6</v>
      </c>
      <c r="M26" s="2">
        <f t="shared" si="5"/>
        <v>5.1301972400800011</v>
      </c>
      <c r="N26" s="1">
        <v>-4.4305000000000002E-6</v>
      </c>
      <c r="O26" s="2">
        <f t="shared" si="6"/>
        <v>2.8785525604000002</v>
      </c>
      <c r="P26" s="1">
        <v>-7.4062000000000003E-6</v>
      </c>
      <c r="Q26" s="2">
        <f t="shared" si="7"/>
        <v>4.8119029393600004</v>
      </c>
      <c r="R26" s="1">
        <v>-4.1490999999999998E-6</v>
      </c>
      <c r="S26" s="2">
        <f t="shared" si="8"/>
        <v>2.6957233784799999</v>
      </c>
      <c r="T26" s="1">
        <v>-7.0395000000000001E-6</v>
      </c>
      <c r="U26" s="2">
        <f t="shared" si="9"/>
        <v>4.5736532556</v>
      </c>
      <c r="V26" s="1">
        <v>-3.9117000000000002E-6</v>
      </c>
      <c r="W26" s="2">
        <f t="shared" si="10"/>
        <v>2.5414815597600002</v>
      </c>
      <c r="X26" s="1">
        <v>-6.6641999999999997E-6</v>
      </c>
      <c r="Y26" s="2">
        <f t="shared" si="11"/>
        <v>4.32981604176</v>
      </c>
      <c r="Z26" s="1">
        <v>-3.4977E-6</v>
      </c>
      <c r="AA26" s="2">
        <f t="shared" si="12"/>
        <v>2.2725004605599999</v>
      </c>
      <c r="AB26" s="1">
        <v>-6.0595000000000002E-6</v>
      </c>
      <c r="AC26" s="2">
        <f t="shared" si="13"/>
        <v>3.9369347116000002</v>
      </c>
    </row>
    <row r="27" spans="1:29">
      <c r="A27">
        <f t="shared" si="14"/>
        <v>850</v>
      </c>
      <c r="B27" s="1">
        <v>-5.5642E-6</v>
      </c>
      <c r="C27" s="2">
        <f t="shared" si="0"/>
        <v>3.5726009975040003</v>
      </c>
      <c r="D27" s="1">
        <v>-8.6659999999999997E-6</v>
      </c>
      <c r="E27" s="2">
        <f t="shared" si="1"/>
        <v>5.5641709939200004</v>
      </c>
      <c r="F27" s="1">
        <v>-5.1962999999999997E-6</v>
      </c>
      <c r="G27" s="2">
        <f t="shared" si="2"/>
        <v>3.3363837682560002</v>
      </c>
      <c r="H27" s="1">
        <v>-8.1024000000000006E-6</v>
      </c>
      <c r="I27" s="2">
        <f t="shared" si="3"/>
        <v>5.2023008378880009</v>
      </c>
      <c r="J27" s="1">
        <v>-4.7698999999999999E-6</v>
      </c>
      <c r="K27" s="2">
        <f t="shared" si="4"/>
        <v>3.062605495488</v>
      </c>
      <c r="L27" s="1">
        <v>-7.5599000000000002E-6</v>
      </c>
      <c r="M27" s="2">
        <f t="shared" si="5"/>
        <v>4.8539783402880001</v>
      </c>
      <c r="N27" s="1">
        <v>-4.5043000000000002E-6</v>
      </c>
      <c r="O27" s="2">
        <f t="shared" si="6"/>
        <v>2.8920719372160004</v>
      </c>
      <c r="P27" s="1">
        <v>-7.1845999999999998E-6</v>
      </c>
      <c r="Q27" s="2">
        <f t="shared" si="7"/>
        <v>4.6130097995520005</v>
      </c>
      <c r="R27" s="1">
        <v>-4.1722999999999998E-6</v>
      </c>
      <c r="S27" s="2">
        <f t="shared" si="8"/>
        <v>2.678904989376</v>
      </c>
      <c r="T27" s="1">
        <v>-6.7210999999999999E-6</v>
      </c>
      <c r="U27" s="2">
        <f t="shared" si="9"/>
        <v>4.3154107624320002</v>
      </c>
      <c r="V27" s="1">
        <v>-3.9573999999999996E-6</v>
      </c>
      <c r="W27" s="2">
        <f t="shared" si="10"/>
        <v>2.540924335488</v>
      </c>
      <c r="X27" s="1">
        <v>-6.4300000000000003E-6</v>
      </c>
      <c r="Y27" s="2">
        <f>-8.686*2*3.1416*(X27)/((A27)*10^-7)</f>
        <v>4.1285044416000005</v>
      </c>
      <c r="Z27" s="1">
        <v>-3.5335999999999999E-6</v>
      </c>
      <c r="AA27" s="2">
        <f t="shared" si="12"/>
        <v>2.268815442432</v>
      </c>
      <c r="AB27" s="1">
        <v>-5.8216000000000003E-6</v>
      </c>
      <c r="AC27" s="2">
        <f t="shared" si="13"/>
        <v>3.7378695889920008</v>
      </c>
    </row>
    <row r="28" spans="1:29">
      <c r="G28" s="2"/>
      <c r="I28" s="2"/>
      <c r="K28" s="2"/>
      <c r="M28" s="2"/>
      <c r="O28" s="2"/>
      <c r="Q28" s="2"/>
      <c r="S28" s="2"/>
      <c r="U2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BAE6-FF67-4745-A6BB-7DBB79A948C1}">
  <dimension ref="A1:BF39"/>
  <sheetViews>
    <sheetView topLeftCell="V1" workbookViewId="0">
      <selection activeCell="J1" sqref="J1:Y27"/>
    </sheetView>
  </sheetViews>
  <sheetFormatPr defaultRowHeight="15"/>
  <cols>
    <col min="2" max="2" width="14.7109375" customWidth="1"/>
    <col min="10" max="10" width="17.28515625" customWidth="1"/>
    <col min="14" max="14" width="17.28515625" customWidth="1"/>
    <col min="15" max="15" width="13.85546875" customWidth="1"/>
    <col min="16" max="16" width="20.140625" customWidth="1"/>
    <col min="20" max="20" width="13" customWidth="1"/>
    <col min="22" max="22" width="17.85546875" customWidth="1"/>
    <col min="23" max="23" width="18.28515625" customWidth="1"/>
    <col min="24" max="24" width="13.42578125" customWidth="1"/>
    <col min="25" max="25" width="19.7109375" customWidth="1"/>
  </cols>
  <sheetData>
    <row r="1" spans="1:58">
      <c r="A1" t="s">
        <v>0</v>
      </c>
      <c r="B1" t="s">
        <v>77</v>
      </c>
      <c r="C1" s="2" t="s">
        <v>78</v>
      </c>
      <c r="D1" t="s">
        <v>79</v>
      </c>
      <c r="E1" s="2" t="s">
        <v>80</v>
      </c>
      <c r="F1" t="s">
        <v>81</v>
      </c>
      <c r="G1" s="2" t="s">
        <v>82</v>
      </c>
      <c r="H1" t="s">
        <v>83</v>
      </c>
      <c r="I1" s="2" t="s">
        <v>84</v>
      </c>
      <c r="J1" t="s">
        <v>85</v>
      </c>
      <c r="K1" s="2" t="s">
        <v>86</v>
      </c>
      <c r="L1" t="s">
        <v>87</v>
      </c>
      <c r="M1" s="2" t="s">
        <v>88</v>
      </c>
      <c r="N1" t="s">
        <v>89</v>
      </c>
      <c r="O1" s="2" t="s">
        <v>90</v>
      </c>
      <c r="P1" t="s">
        <v>91</v>
      </c>
      <c r="Q1" s="2" t="s">
        <v>92</v>
      </c>
      <c r="R1" t="s">
        <v>93</v>
      </c>
      <c r="S1" s="2" t="s">
        <v>94</v>
      </c>
      <c r="T1" t="s">
        <v>95</v>
      </c>
      <c r="U1" s="2" t="s">
        <v>96</v>
      </c>
      <c r="V1" t="s">
        <v>97</v>
      </c>
      <c r="W1" s="2" t="s">
        <v>98</v>
      </c>
      <c r="X1" t="s">
        <v>99</v>
      </c>
      <c r="Y1" s="2" t="s">
        <v>100</v>
      </c>
      <c r="AA1" s="2"/>
      <c r="AC1" s="2"/>
    </row>
    <row r="2" spans="1:58">
      <c r="A2">
        <v>600</v>
      </c>
      <c r="B2" s="2">
        <v>-3.13065762673753E-6</v>
      </c>
      <c r="C2" s="2">
        <f>-8.686*2*3.1416*(B2)/((A2)*10^-7)</f>
        <v>2.8476396655125935</v>
      </c>
      <c r="D2" s="1">
        <v>-1.6648936802591401E-6</v>
      </c>
      <c r="E2" s="2">
        <f>-8.686*2*3.1416*(D2)/((A2)*10^-7)</f>
        <v>1.514383828584859</v>
      </c>
      <c r="F2" s="1">
        <v>-3.2356536850723E-6</v>
      </c>
      <c r="G2" s="2">
        <f>-8.686*2*3.1416*(F2)/((A2)*10^-7)</f>
        <v>2.9431438617820995</v>
      </c>
      <c r="H2" s="1">
        <v>-1.72114824373058E-6</v>
      </c>
      <c r="I2" s="2">
        <f>-8.686*2*3.1416*(H2)/((A2)*10^-7)</f>
        <v>1.5655528625089887</v>
      </c>
      <c r="J2" s="1">
        <v>-3.3380000000000001E-6</v>
      </c>
      <c r="K2" s="2">
        <f>-8.686*2*3.1416*(J2)/((A2)*10^-7)</f>
        <v>3.0362378569600001</v>
      </c>
      <c r="L2" s="1">
        <v>-1.776E-6</v>
      </c>
      <c r="M2" s="2">
        <f>-8.686*2*3.1416*(L2)/((A2)*10^-7)</f>
        <v>1.6154459059200001</v>
      </c>
      <c r="N2" s="1">
        <v>-3.4389580523075402E-6</v>
      </c>
      <c r="O2" s="2">
        <f>-8.686*2*3.1416*(N2)/((A2)*10^-7)</f>
        <v>3.1280690913461902</v>
      </c>
      <c r="P2" s="1">
        <v>-1.8301364384657501E-6</v>
      </c>
      <c r="Q2" s="2">
        <f>-8.686*2*3.1416*(P2)/((A2)*10^-7)</f>
        <v>1.6646882977446544</v>
      </c>
      <c r="R2" s="1">
        <v>-3.5396265754970702E-6</v>
      </c>
      <c r="S2" s="2">
        <f>-8.686*2*3.1416*(R2)/((A2)*10^-7)</f>
        <v>3.2196369706488581</v>
      </c>
      <c r="T2" s="1">
        <v>-1.88413689592845E-6</v>
      </c>
      <c r="U2" s="2">
        <f>-8.686*2*3.1416*(T2)/((A2)*10^-7)</f>
        <v>1.7138070015317748</v>
      </c>
      <c r="V2" s="1">
        <v>-3.64066546465697E-6</v>
      </c>
      <c r="W2" s="2">
        <f>-8.686*2*3.1416*(V2)/((A2)*10^-7)</f>
        <v>3.3115417340678137</v>
      </c>
      <c r="X2" s="2">
        <v>-1.9383588722335399E-6</v>
      </c>
      <c r="Y2" s="2">
        <f>-8.686*2*3.1416*(X2)/((A2)*10^-7)</f>
        <v>1.7631271983971737</v>
      </c>
      <c r="Z2" s="1"/>
      <c r="AA2" s="2"/>
      <c r="AB2" s="1"/>
      <c r="AC2" s="2"/>
    </row>
    <row r="3" spans="1:58">
      <c r="A3">
        <f>A2+10</f>
        <v>610</v>
      </c>
      <c r="B3" s="1">
        <v>-4.0294320859860702E-6</v>
      </c>
      <c r="C3" s="2">
        <f t="shared" ref="C3:C27" si="0">-8.686*2*3.1416*(B3)/((A3)*10^-7)</f>
        <v>3.6050784041254333</v>
      </c>
      <c r="D3" s="2">
        <v>-1.7214259678674901E-6</v>
      </c>
      <c r="E3" s="2">
        <f t="shared" ref="E3:E27" si="1">-8.686*2*3.1416*(D3)/((A3)*10^-7)</f>
        <v>1.5401365375143501</v>
      </c>
      <c r="F3" s="2">
        <v>-4.1636338998334403E-6</v>
      </c>
      <c r="G3" s="2">
        <f t="shared" ref="G3:G27" si="2">-8.686*2*3.1416*(F3)/((A3)*10^-7)</f>
        <v>3.7251469523901495</v>
      </c>
      <c r="H3" s="2">
        <v>-1.7793962318971801E-6</v>
      </c>
      <c r="I3" s="2">
        <f t="shared" ref="I3:I27" si="3">-8.686*2*3.1416*(H3)/((A3)*10^-7)</f>
        <v>1.5920017489077174</v>
      </c>
      <c r="J3" s="1">
        <v>-4.2942999999999997E-6</v>
      </c>
      <c r="K3" s="2">
        <f t="shared" ref="K3:K27" si="4">-8.686*2*3.1416*(J3)/((A3)*10^-7)</f>
        <v>3.842052145432131</v>
      </c>
      <c r="L3" s="1">
        <v>-1.8359000000000001E-6</v>
      </c>
      <c r="M3" s="2">
        <f t="shared" ref="M3:M27" si="5">-8.686*2*3.1416*(L3)/((A3)*10^-7)</f>
        <v>1.6425549062242624</v>
      </c>
      <c r="N3" s="2">
        <v>-4.4230973839965804E-6</v>
      </c>
      <c r="O3" s="2">
        <f t="shared" ref="O3:O27" si="6">-8.686*2*3.1416*(N3)/((A3)*10^-7)</f>
        <v>3.9572854233843255</v>
      </c>
      <c r="P3" s="2">
        <v>-1.8915875678966701E-6</v>
      </c>
      <c r="Q3" s="2">
        <f t="shared" ref="Q3:Q27" si="7">-8.686*2*3.1416*(P3)/((A3)*10^-7)</f>
        <v>1.6923778202524622</v>
      </c>
      <c r="R3" s="2">
        <v>-4.5514171176800797E-6</v>
      </c>
      <c r="S3" s="2">
        <f t="shared" ref="S3:S27" si="8">-8.686*2*3.1416*(R3)/((A3)*10^-7)</f>
        <v>4.0720913540598644</v>
      </c>
      <c r="T3" s="2">
        <v>-1.9471289570467701E-6</v>
      </c>
      <c r="U3" s="2">
        <f t="shared" ref="U3:U27" si="9">-8.686*2*3.1416*(T3)/((A3)*10^-7)</f>
        <v>1.7420699501326342</v>
      </c>
      <c r="V3" s="2">
        <v>-4.6801252390134298E-6</v>
      </c>
      <c r="W3" s="2">
        <f t="shared" ref="W3:W27" si="10">-8.686*2*3.1416*(V3)/((A3)*10^-7)</f>
        <v>4.1872447699142148</v>
      </c>
      <c r="X3" s="1">
        <v>-2.0028753311683202E-6</v>
      </c>
      <c r="Y3" s="2">
        <f t="shared" ref="Y3:Y27" si="11">-8.686*2*3.1416*(X3)/((A3)*10^-7)</f>
        <v>1.7919454772950969</v>
      </c>
      <c r="Z3" s="1"/>
      <c r="AA3" s="2"/>
      <c r="AB3" s="1"/>
      <c r="AC3" s="2"/>
    </row>
    <row r="4" spans="1:58">
      <c r="A4">
        <f t="shared" ref="A4:A27" si="12">A3+10</f>
        <v>620</v>
      </c>
      <c r="B4" s="2">
        <v>-5.6792639770614599E-6</v>
      </c>
      <c r="C4" s="2">
        <f t="shared" si="0"/>
        <v>4.999206484515514</v>
      </c>
      <c r="D4" s="1">
        <v>-1.8247299379936001E-6</v>
      </c>
      <c r="E4" s="2">
        <f t="shared" si="1"/>
        <v>1.606229570478104</v>
      </c>
      <c r="F4" s="1">
        <v>-5.8666115318866498E-6</v>
      </c>
      <c r="G4" s="2">
        <f t="shared" si="2"/>
        <v>5.1641203034052685</v>
      </c>
      <c r="H4" s="1">
        <v>-1.8859027746545099E-6</v>
      </c>
      <c r="I4" s="2">
        <f t="shared" si="3"/>
        <v>1.6600773301431975</v>
      </c>
      <c r="J4" s="1">
        <v>-6.0487000000000002E-6</v>
      </c>
      <c r="K4" s="2">
        <f t="shared" si="4"/>
        <v>5.3244047793909672</v>
      </c>
      <c r="L4" s="1">
        <v>-1.9454E-6</v>
      </c>
      <c r="M4" s="2">
        <f t="shared" si="5"/>
        <v>1.7124501228077418</v>
      </c>
      <c r="N4" s="1">
        <v>-6.2281225004521602E-6</v>
      </c>
      <c r="O4" s="2">
        <f t="shared" si="6"/>
        <v>5.4823425212095005</v>
      </c>
      <c r="P4" s="1">
        <v>-2.0041347273434298E-6</v>
      </c>
      <c r="Q4" s="2">
        <f t="shared" si="7"/>
        <v>1.7641517219916296</v>
      </c>
      <c r="R4" s="1">
        <v>-6.4066573860734202E-6</v>
      </c>
      <c r="S4" s="2">
        <f t="shared" si="8"/>
        <v>5.6394989347016322</v>
      </c>
      <c r="T4" s="1">
        <v>-2.06261533668292E-6</v>
      </c>
      <c r="U4" s="2">
        <f t="shared" si="9"/>
        <v>1.8156296322647261</v>
      </c>
      <c r="V4" s="1">
        <v>-6.5855966279630704E-6</v>
      </c>
      <c r="W4" s="2">
        <f t="shared" si="10"/>
        <v>5.7970112852460209</v>
      </c>
      <c r="X4" s="2">
        <v>-2.12128839847905E-6</v>
      </c>
      <c r="Y4" s="2">
        <f t="shared" si="11"/>
        <v>1.8672769499774273</v>
      </c>
      <c r="Z4" s="1"/>
      <c r="AA4" s="2"/>
      <c r="AB4" s="1"/>
      <c r="AC4" s="2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>
      <c r="A5">
        <f t="shared" si="12"/>
        <v>630</v>
      </c>
      <c r="B5" s="1">
        <v>-8.7431924987389296E-6</v>
      </c>
      <c r="C5" s="2">
        <f t="shared" si="0"/>
        <v>7.5740854390595551</v>
      </c>
      <c r="D5" s="1">
        <v>-2.0035515117608098E-6</v>
      </c>
      <c r="E5" s="2">
        <f t="shared" si="1"/>
        <v>1.7356440835337983</v>
      </c>
      <c r="F5" s="2">
        <v>-9.0282471382192002E-6</v>
      </c>
      <c r="G5" s="2">
        <f t="shared" si="2"/>
        <v>7.8210236363525105</v>
      </c>
      <c r="H5" s="2">
        <v>-2.0703401473536002E-6</v>
      </c>
      <c r="I5" s="2">
        <f t="shared" si="3"/>
        <v>1.7935019921193602</v>
      </c>
      <c r="J5" s="1">
        <v>-9.3048999999999996E-6</v>
      </c>
      <c r="K5" s="2">
        <f t="shared" si="4"/>
        <v>8.0606835102933321</v>
      </c>
      <c r="L5" s="1">
        <v>-2.1353000000000001E-6</v>
      </c>
      <c r="M5" s="2">
        <f t="shared" si="5"/>
        <v>1.8497756557866667</v>
      </c>
      <c r="N5" s="2">
        <v>-9.5771395904929003E-6</v>
      </c>
      <c r="O5" s="2">
        <f t="shared" si="6"/>
        <v>8.2965202391066608</v>
      </c>
      <c r="P5" s="2">
        <v>-2.1992578709195501E-6</v>
      </c>
      <c r="Q5" s="2">
        <f t="shared" si="7"/>
        <v>1.9051813189829059</v>
      </c>
      <c r="R5" s="2">
        <v>-9.8477299755405999E-6</v>
      </c>
      <c r="S5" s="2">
        <f t="shared" si="8"/>
        <v>8.5309282880698873</v>
      </c>
      <c r="T5" s="2">
        <v>-2.2629566031244601E-6</v>
      </c>
      <c r="U5" s="2">
        <f t="shared" si="9"/>
        <v>1.9603624945259757</v>
      </c>
      <c r="V5" s="2">
        <v>-1.01186814661659E-5</v>
      </c>
      <c r="W5" s="2">
        <f t="shared" si="10"/>
        <v>8.765649156921004</v>
      </c>
      <c r="X5" s="1">
        <v>-2.3268335103548298E-6</v>
      </c>
      <c r="Y5" s="2">
        <f t="shared" si="11"/>
        <v>2.0156980201952872</v>
      </c>
      <c r="Z5" s="1"/>
      <c r="AA5" s="2"/>
      <c r="AB5" s="1"/>
      <c r="AC5" s="2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8">
      <c r="A6">
        <f t="shared" si="12"/>
        <v>640</v>
      </c>
      <c r="B6" s="1">
        <v>-1.5373508949883401E-5</v>
      </c>
      <c r="C6" s="2">
        <f t="shared" si="0"/>
        <v>13.109729778670618</v>
      </c>
      <c r="D6" s="1">
        <v>-2.2638619046377801E-6</v>
      </c>
      <c r="E6" s="2">
        <f t="shared" si="1"/>
        <v>1.9305038246491528</v>
      </c>
      <c r="F6" s="1">
        <v>-1.5867708353086002E-5</v>
      </c>
      <c r="G6" s="2">
        <f t="shared" si="2"/>
        <v>13.531157356062799</v>
      </c>
      <c r="H6" s="1">
        <v>-2.3387562469123899E-6</v>
      </c>
      <c r="I6" s="2">
        <f t="shared" si="3"/>
        <v>1.994369828979859</v>
      </c>
      <c r="J6" s="1">
        <v>-1.6347000000000001E-5</v>
      </c>
      <c r="K6" s="2">
        <f t="shared" si="4"/>
        <v>13.939872373350001</v>
      </c>
      <c r="L6" s="1">
        <v>-2.4115000000000001E-6</v>
      </c>
      <c r="M6" s="2">
        <f t="shared" si="5"/>
        <v>2.0564019225750001</v>
      </c>
      <c r="N6" s="1">
        <v>-1.68169186656483E-5</v>
      </c>
      <c r="O6" s="2">
        <f t="shared" si="6"/>
        <v>14.340594599140191</v>
      </c>
      <c r="P6" s="1">
        <v>-2.4831092962785398E-6</v>
      </c>
      <c r="Q6" s="2">
        <f t="shared" si="7"/>
        <v>2.1174666103383974</v>
      </c>
      <c r="R6" s="1">
        <v>-1.7283861877551899E-5</v>
      </c>
      <c r="S6" s="2">
        <f t="shared" si="8"/>
        <v>14.738779512551721</v>
      </c>
      <c r="T6" s="1">
        <v>-2.5543539540862302E-6</v>
      </c>
      <c r="U6" s="2">
        <f t="shared" si="9"/>
        <v>2.1782203533568221</v>
      </c>
      <c r="V6" s="1">
        <v>-1.7750859078143402E-5</v>
      </c>
      <c r="W6" s="2">
        <f t="shared" si="10"/>
        <v>15.137010464711583</v>
      </c>
      <c r="X6" s="1">
        <v>-2.6257496871387E-6</v>
      </c>
      <c r="Y6" s="2">
        <f t="shared" si="11"/>
        <v>2.2391029254956365</v>
      </c>
      <c r="Z6" s="1"/>
      <c r="AA6" s="2"/>
      <c r="AB6" s="1"/>
      <c r="AC6" s="2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8">
      <c r="A7">
        <f t="shared" si="12"/>
        <v>650</v>
      </c>
      <c r="B7" s="1">
        <v>-3.1029432287640401E-5</v>
      </c>
      <c r="C7" s="2">
        <f t="shared" si="0"/>
        <v>26.053206523955584</v>
      </c>
      <c r="D7" s="1">
        <v>-2.6542903999776202E-6</v>
      </c>
      <c r="E7" s="2">
        <f t="shared" si="1"/>
        <v>2.2286187940574878</v>
      </c>
      <c r="F7" s="2">
        <v>-3.2026758148346702E-5</v>
      </c>
      <c r="G7" s="2">
        <f t="shared" si="2"/>
        <v>26.890590088688505</v>
      </c>
      <c r="H7" s="2">
        <v>-2.74125562171615E-6</v>
      </c>
      <c r="I7" s="2">
        <f t="shared" si="3"/>
        <v>2.3016373031089077</v>
      </c>
      <c r="J7" s="1">
        <v>-3.2991999999999999E-5</v>
      </c>
      <c r="K7" s="2">
        <f t="shared" si="4"/>
        <v>27.701034993821541</v>
      </c>
      <c r="L7" s="1">
        <v>-2.8256000000000001E-6</v>
      </c>
      <c r="M7" s="2">
        <f t="shared" si="5"/>
        <v>2.3724552763864617</v>
      </c>
      <c r="N7" s="2">
        <v>-3.3938779602341402E-5</v>
      </c>
      <c r="O7" s="2">
        <f t="shared" si="6"/>
        <v>28.495978461810619</v>
      </c>
      <c r="P7" s="2">
        <v>-2.9085868417935602E-6</v>
      </c>
      <c r="Q7" s="2">
        <f t="shared" si="7"/>
        <v>2.4421334228628844</v>
      </c>
      <c r="R7" s="2">
        <v>-3.48777569700058E-5</v>
      </c>
      <c r="S7" s="2">
        <f t="shared" si="8"/>
        <v>29.284370948476411</v>
      </c>
      <c r="T7" s="1">
        <v>-2.9910540665408099E-6</v>
      </c>
      <c r="U7" s="2">
        <f t="shared" si="9"/>
        <v>2.511375283876673</v>
      </c>
      <c r="V7" s="1">
        <v>-3.5816049316522698E-5</v>
      </c>
      <c r="W7" s="2">
        <f t="shared" si="10"/>
        <v>30.072188271624434</v>
      </c>
      <c r="X7" s="1">
        <v>-3.0736463835430501E-6</v>
      </c>
      <c r="Y7" s="2">
        <f t="shared" si="11"/>
        <v>2.5807221759565668</v>
      </c>
      <c r="Z7" s="1"/>
      <c r="AA7" s="2"/>
      <c r="AB7" s="1"/>
      <c r="AC7" s="2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>
      <c r="A8">
        <f t="shared" si="12"/>
        <v>660</v>
      </c>
      <c r="B8" s="1">
        <v>-5.3187547249932399E-5</v>
      </c>
      <c r="C8" s="2">
        <f t="shared" si="0"/>
        <v>43.981165771309307</v>
      </c>
      <c r="D8" s="1">
        <v>-3.2787838122897801E-6</v>
      </c>
      <c r="E8" s="2">
        <f t="shared" si="1"/>
        <v>2.711249941625868</v>
      </c>
      <c r="F8" s="1">
        <v>-5.5062606492991702E-5</v>
      </c>
      <c r="G8" s="2">
        <f t="shared" si="2"/>
        <v>45.531665759821593</v>
      </c>
      <c r="H8" s="1">
        <v>-3.3847271997712701E-6</v>
      </c>
      <c r="I8" s="2">
        <f t="shared" si="3"/>
        <v>2.798855291526702</v>
      </c>
      <c r="J8" s="1">
        <v>-5.6886999999999999E-5</v>
      </c>
      <c r="K8" s="2">
        <f t="shared" si="4"/>
        <v>47.040269886400004</v>
      </c>
      <c r="L8" s="1">
        <v>-3.4873000000000001E-6</v>
      </c>
      <c r="M8" s="2">
        <f t="shared" si="5"/>
        <v>2.8836734785600004</v>
      </c>
      <c r="N8" s="1">
        <v>-5.8686383588347501E-5</v>
      </c>
      <c r="O8" s="2">
        <f t="shared" si="6"/>
        <v>48.52819313116639</v>
      </c>
      <c r="P8" s="1">
        <v>-3.5881319652083801E-6</v>
      </c>
      <c r="Q8" s="2">
        <f t="shared" si="7"/>
        <v>2.9670521565809591</v>
      </c>
      <c r="R8" s="1">
        <v>-6.0479143965402298E-5</v>
      </c>
      <c r="S8" s="2">
        <f t="shared" si="8"/>
        <v>50.010639594827722</v>
      </c>
      <c r="T8" s="1">
        <v>-3.6882294325096298E-6</v>
      </c>
      <c r="U8" s="2">
        <f t="shared" si="9"/>
        <v>3.0498234729941269</v>
      </c>
      <c r="V8" s="1">
        <v>-6.2278161543779698E-5</v>
      </c>
      <c r="W8" s="2">
        <f t="shared" si="10"/>
        <v>51.498260183314557</v>
      </c>
      <c r="X8" s="1">
        <v>-3.7883701484386298E-6</v>
      </c>
      <c r="Y8" s="2">
        <f t="shared" si="11"/>
        <v>3.1326305520089721</v>
      </c>
      <c r="Z8" s="1"/>
      <c r="AA8" s="2"/>
      <c r="AB8" s="1"/>
      <c r="AC8" s="2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8">
      <c r="A9">
        <f t="shared" si="12"/>
        <v>670</v>
      </c>
      <c r="B9" s="1">
        <v>-3.9388812991270303E-5</v>
      </c>
      <c r="C9" s="2">
        <f t="shared" si="0"/>
        <v>32.084760329667262</v>
      </c>
      <c r="D9" s="1">
        <v>-4.5864046555468304E-6</v>
      </c>
      <c r="E9" s="2">
        <f t="shared" si="1"/>
        <v>3.73592609101228</v>
      </c>
      <c r="F9" s="2">
        <v>-4.0865463969695701E-5</v>
      </c>
      <c r="G9" s="2">
        <f t="shared" si="2"/>
        <v>33.287588979107596</v>
      </c>
      <c r="H9" s="2">
        <v>-4.73269546264635E-6</v>
      </c>
      <c r="I9" s="2">
        <f t="shared" si="3"/>
        <v>3.8550895064028872</v>
      </c>
      <c r="J9" s="1">
        <v>-4.231E-5</v>
      </c>
      <c r="K9" s="2">
        <f t="shared" si="4"/>
        <v>34.46425790614925</v>
      </c>
      <c r="L9" s="1">
        <v>-4.8740999999999996E-6</v>
      </c>
      <c r="M9" s="2">
        <f t="shared" si="5"/>
        <v>3.9702727360047754</v>
      </c>
      <c r="N9" s="2">
        <v>-4.3741518374554002E-5</v>
      </c>
      <c r="O9" s="2">
        <f t="shared" si="6"/>
        <v>35.630323102509941</v>
      </c>
      <c r="P9" s="1">
        <v>-5.0129137492212498E-6</v>
      </c>
      <c r="Q9" s="2">
        <f t="shared" si="7"/>
        <v>4.0833455994904924</v>
      </c>
      <c r="R9" s="1">
        <v>-4.5174741690787798E-5</v>
      </c>
      <c r="S9" s="2">
        <f t="shared" si="8"/>
        <v>36.797777085204054</v>
      </c>
      <c r="T9" s="1">
        <v>-5.1505580872726603E-6</v>
      </c>
      <c r="U9" s="2">
        <f t="shared" si="9"/>
        <v>4.1954659012140807</v>
      </c>
      <c r="V9" s="1">
        <v>-4.66197000932148E-5</v>
      </c>
      <c r="W9" s="2">
        <f t="shared" si="10"/>
        <v>37.974790061921183</v>
      </c>
      <c r="X9" s="1">
        <v>-5.2881390386726202E-6</v>
      </c>
      <c r="Y9" s="2">
        <f t="shared" si="11"/>
        <v>4.3075345703708185</v>
      </c>
      <c r="Z9" s="1"/>
      <c r="AA9" s="2"/>
      <c r="AB9" s="1"/>
      <c r="AC9" s="2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8">
      <c r="A10">
        <f t="shared" si="12"/>
        <v>680</v>
      </c>
      <c r="B10" s="1">
        <v>-2.2752002374011701E-5</v>
      </c>
      <c r="C10" s="2">
        <f t="shared" si="0"/>
        <v>18.260447678149504</v>
      </c>
      <c r="D10" s="1">
        <v>-6.9140748857833596E-6</v>
      </c>
      <c r="E10" s="2">
        <f t="shared" si="1"/>
        <v>5.5491424719112779</v>
      </c>
      <c r="F10" s="1">
        <v>-2.3600505894980801E-5</v>
      </c>
      <c r="G10" s="2">
        <f t="shared" si="2"/>
        <v>18.941445064431417</v>
      </c>
      <c r="H10" s="1">
        <v>-7.1303205524270903E-6</v>
      </c>
      <c r="I10" s="2">
        <f t="shared" si="3"/>
        <v>5.7226983030184693</v>
      </c>
      <c r="J10" s="1">
        <v>-2.4430000000000002E-5</v>
      </c>
      <c r="K10" s="2">
        <f t="shared" si="4"/>
        <v>19.607185751999999</v>
      </c>
      <c r="L10" s="1">
        <v>-7.3390000000000004E-6</v>
      </c>
      <c r="M10" s="2">
        <f t="shared" si="5"/>
        <v>5.8901815896</v>
      </c>
      <c r="N10" s="1">
        <v>-2.52515473085169E-5</v>
      </c>
      <c r="O10" s="2">
        <f t="shared" si="6"/>
        <v>20.266548448772269</v>
      </c>
      <c r="P10" s="1">
        <v>-7.5433931955083304E-6</v>
      </c>
      <c r="Q10" s="2">
        <f t="shared" si="7"/>
        <v>6.0542247885675264</v>
      </c>
      <c r="R10" s="1">
        <v>-2.6073590429060199E-5</v>
      </c>
      <c r="S10" s="2">
        <f t="shared" si="8"/>
        <v>20.92630907753388</v>
      </c>
      <c r="T10" s="1">
        <v>-7.7457836807997699E-6</v>
      </c>
      <c r="U10" s="2">
        <f t="shared" si="9"/>
        <v>6.2166606395518365</v>
      </c>
      <c r="V10" s="1">
        <v>-2.6902153414057399E-5</v>
      </c>
      <c r="W10" s="2">
        <f t="shared" si="10"/>
        <v>21.591302460836037</v>
      </c>
      <c r="X10" s="1">
        <v>-7.9478585555118293E-6</v>
      </c>
      <c r="Y10" s="2">
        <f t="shared" si="11"/>
        <v>6.3788431857774395</v>
      </c>
      <c r="Z10" s="1"/>
      <c r="AA10" s="2"/>
      <c r="AB10" s="1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8">
      <c r="A11">
        <f t="shared" si="12"/>
        <v>690</v>
      </c>
      <c r="B11" s="1">
        <v>-1.4271297333907999E-5</v>
      </c>
      <c r="C11" s="2">
        <f t="shared" si="0"/>
        <v>11.287949887499359</v>
      </c>
      <c r="D11" s="1">
        <v>-1.1458834018453699E-5</v>
      </c>
      <c r="E11" s="2">
        <f t="shared" si="1"/>
        <v>9.063418772878892</v>
      </c>
      <c r="F11" s="2">
        <v>-1.47966331489237E-5</v>
      </c>
      <c r="G11" s="2">
        <f t="shared" si="2"/>
        <v>11.703466726316563</v>
      </c>
      <c r="H11" s="2">
        <v>-1.1807946835273901E-5</v>
      </c>
      <c r="I11" s="2">
        <f t="shared" si="3"/>
        <v>9.3395512007267154</v>
      </c>
      <c r="J11" s="1">
        <v>-1.5308999999999999E-5</v>
      </c>
      <c r="K11" s="2">
        <f t="shared" si="4"/>
        <v>12.108725701982609</v>
      </c>
      <c r="L11" s="1">
        <v>-1.2143999999999999E-5</v>
      </c>
      <c r="M11" s="2">
        <f t="shared" si="5"/>
        <v>9.6053540351999995</v>
      </c>
      <c r="N11" s="2">
        <v>-1.5816475756461102E-5</v>
      </c>
      <c r="O11" s="2">
        <f t="shared" si="6"/>
        <v>12.510116043310822</v>
      </c>
      <c r="P11" s="1">
        <v>-1.2472334355669801E-5</v>
      </c>
      <c r="Q11" s="2">
        <f t="shared" si="7"/>
        <v>9.8650516412711227</v>
      </c>
      <c r="R11" s="1">
        <v>-1.6323380897745402E-5</v>
      </c>
      <c r="S11" s="2">
        <f t="shared" si="8"/>
        <v>12.911055053875609</v>
      </c>
      <c r="T11" s="1">
        <v>-1.2796938000102799E-5</v>
      </c>
      <c r="U11" s="2">
        <f t="shared" si="9"/>
        <v>10.121798423706492</v>
      </c>
      <c r="V11" s="1">
        <v>-1.6833682200617699E-5</v>
      </c>
      <c r="W11" s="2">
        <f t="shared" si="10"/>
        <v>13.31468027445468</v>
      </c>
      <c r="X11" s="1">
        <v>-1.3120414288164001E-5</v>
      </c>
      <c r="Y11" s="2">
        <f t="shared" si="11"/>
        <v>10.377653518306309</v>
      </c>
      <c r="Z11" s="1"/>
      <c r="AA11" s="2"/>
      <c r="AB11" s="1"/>
      <c r="AC11" s="2"/>
    </row>
    <row r="12" spans="1:58">
      <c r="A12">
        <f t="shared" si="12"/>
        <v>700</v>
      </c>
      <c r="B12" s="1">
        <v>-9.9641432445381401E-6</v>
      </c>
      <c r="C12" s="2">
        <f t="shared" si="0"/>
        <v>7.7685976884119521</v>
      </c>
      <c r="D12" s="1">
        <v>-2.1502096187498899E-5</v>
      </c>
      <c r="E12" s="2">
        <f t="shared" si="1"/>
        <v>16.764224543819083</v>
      </c>
      <c r="F12" s="1">
        <v>-1.03268498747591E-5</v>
      </c>
      <c r="G12" s="2">
        <f t="shared" si="2"/>
        <v>8.0513838567712614</v>
      </c>
      <c r="H12" s="1">
        <v>-2.21337898846706E-5</v>
      </c>
      <c r="I12" s="2">
        <f t="shared" si="3"/>
        <v>17.256727920697216</v>
      </c>
      <c r="J12" s="1">
        <v>-1.0679999999999999E-5</v>
      </c>
      <c r="K12" s="2">
        <f t="shared" si="4"/>
        <v>8.3267192447999996</v>
      </c>
      <c r="L12" s="1">
        <v>-2.2739999999999999E-5</v>
      </c>
      <c r="M12" s="2">
        <f t="shared" si="5"/>
        <v>17.729362886400001</v>
      </c>
      <c r="N12" s="1">
        <v>-1.1029485994615999E-5</v>
      </c>
      <c r="O12" s="2">
        <f t="shared" si="6"/>
        <v>8.5991978737472952</v>
      </c>
      <c r="P12" s="1">
        <v>-2.3329760804848801E-5</v>
      </c>
      <c r="Q12" s="2">
        <f t="shared" si="7"/>
        <v>18.189173059018284</v>
      </c>
      <c r="R12" s="1">
        <v>-1.1378090033120901E-5</v>
      </c>
      <c r="S12" s="2">
        <f t="shared" si="8"/>
        <v>8.8709888808852888</v>
      </c>
      <c r="T12" s="1">
        <v>-2.3911483903482899E-5</v>
      </c>
      <c r="U12" s="2">
        <f t="shared" si="9"/>
        <v>18.642716590904165</v>
      </c>
      <c r="V12" s="1">
        <v>-1.1728745784020901E-5</v>
      </c>
      <c r="W12" s="2">
        <f t="shared" si="10"/>
        <v>9.1443795165892983</v>
      </c>
      <c r="X12" s="1">
        <v>-2.4489854926294399E-5</v>
      </c>
      <c r="Y12" s="2">
        <f t="shared" si="11"/>
        <v>19.093646658907833</v>
      </c>
      <c r="Z12" s="1"/>
      <c r="AA12" s="2"/>
      <c r="AB12" s="1"/>
      <c r="AC12" s="2"/>
    </row>
    <row r="13" spans="1:58">
      <c r="A13">
        <f t="shared" si="12"/>
        <v>710</v>
      </c>
      <c r="B13" s="1">
        <v>-7.7561439505459108E-6</v>
      </c>
      <c r="C13" s="2">
        <f t="shared" si="0"/>
        <v>5.9619485109609673</v>
      </c>
      <c r="D13" s="1">
        <v>-4.5044006600070003E-5</v>
      </c>
      <c r="E13" s="2">
        <f t="shared" si="1"/>
        <v>34.624170179061927</v>
      </c>
      <c r="F13" s="2">
        <v>-8.0358750656956894E-6</v>
      </c>
      <c r="G13" s="2">
        <f t="shared" si="2"/>
        <v>6.1769706296929545</v>
      </c>
      <c r="H13" s="2">
        <v>-4.6336880287554098E-5</v>
      </c>
      <c r="I13" s="2">
        <f t="shared" si="3"/>
        <v>35.617968953956236</v>
      </c>
      <c r="J13" s="1">
        <v>-8.3080999999999993E-6</v>
      </c>
      <c r="K13" s="2">
        <f t="shared" si="4"/>
        <v>6.3862229401284507</v>
      </c>
      <c r="L13" s="1">
        <v>-4.7571000000000002E-5</v>
      </c>
      <c r="M13" s="2">
        <f t="shared" si="5"/>
        <v>36.566605058298599</v>
      </c>
      <c r="N13" s="2">
        <v>-8.57672681098086E-6</v>
      </c>
      <c r="O13" s="2">
        <f t="shared" si="6"/>
        <v>6.5927094656420486</v>
      </c>
      <c r="P13" s="1">
        <v>-4.8769552615923697E-5</v>
      </c>
      <c r="Q13" s="2">
        <f t="shared" si="7"/>
        <v>37.487901649668814</v>
      </c>
      <c r="R13" s="1">
        <v>-8.8447025578474193E-6</v>
      </c>
      <c r="S13" s="2">
        <f t="shared" si="8"/>
        <v>6.7986955349042475</v>
      </c>
      <c r="T13" s="1">
        <v>-4.9946489788705903E-5</v>
      </c>
      <c r="U13" s="2">
        <f t="shared" si="9"/>
        <v>38.392583005443491</v>
      </c>
      <c r="V13" s="1">
        <v>-9.11398445153328E-6</v>
      </c>
      <c r="W13" s="2">
        <f t="shared" si="10"/>
        <v>7.0056856056566312</v>
      </c>
      <c r="X13" s="1">
        <v>-5.1112419418258602E-5</v>
      </c>
      <c r="Y13" s="2">
        <f t="shared" si="11"/>
        <v>39.288803145647016</v>
      </c>
      <c r="Z13" s="1"/>
      <c r="AA13" s="2"/>
      <c r="AB13" s="1"/>
      <c r="AC13" s="2"/>
    </row>
    <row r="14" spans="1:58">
      <c r="A14">
        <f t="shared" si="12"/>
        <v>720</v>
      </c>
      <c r="B14" s="1">
        <v>-6.5244990237368004E-6</v>
      </c>
      <c r="C14" s="2">
        <f t="shared" si="0"/>
        <v>4.9455589508608533</v>
      </c>
      <c r="D14" s="1">
        <v>-8.3787421041476399E-5</v>
      </c>
      <c r="E14" s="2">
        <f t="shared" si="1"/>
        <v>63.510719917909306</v>
      </c>
      <c r="F14" s="1">
        <v>-6.75837305793581E-6</v>
      </c>
      <c r="G14" s="2">
        <f t="shared" si="2"/>
        <v>5.122835063402043</v>
      </c>
      <c r="H14" s="1">
        <v>-8.6561966091806394E-5</v>
      </c>
      <c r="I14" s="2">
        <f t="shared" si="3"/>
        <v>65.613820256848015</v>
      </c>
      <c r="J14" s="1">
        <v>-6.9856999999999999E-6</v>
      </c>
      <c r="K14" s="2">
        <f t="shared" si="4"/>
        <v>5.2951484914533333</v>
      </c>
      <c r="L14" s="1">
        <v>-8.9227000000000005E-5</v>
      </c>
      <c r="M14" s="2">
        <f t="shared" si="5"/>
        <v>67.633911339866671</v>
      </c>
      <c r="N14" s="1">
        <v>-7.2098797992471798E-6</v>
      </c>
      <c r="O14" s="2">
        <f t="shared" si="6"/>
        <v>5.4650763907043762</v>
      </c>
      <c r="P14" s="1">
        <v>-9.18258173743284E-5</v>
      </c>
      <c r="Q14" s="2">
        <f t="shared" si="7"/>
        <v>69.60381040499081</v>
      </c>
      <c r="R14" s="1">
        <v>-7.4332995938797498E-6</v>
      </c>
      <c r="S14" s="2">
        <f t="shared" si="8"/>
        <v>5.6344282077748868</v>
      </c>
      <c r="T14" s="1">
        <v>-9.4387906672824997E-5</v>
      </c>
      <c r="U14" s="2">
        <f t="shared" si="9"/>
        <v>71.545869652296446</v>
      </c>
      <c r="V14" s="1">
        <v>-7.6576911149148101E-6</v>
      </c>
      <c r="W14" s="2">
        <f t="shared" si="10"/>
        <v>5.8045165917741599</v>
      </c>
      <c r="X14" s="1">
        <v>-9.69339696706135E-5</v>
      </c>
      <c r="Y14" s="2">
        <f t="shared" si="11"/>
        <v>73.475780991444267</v>
      </c>
      <c r="Z14" s="1"/>
      <c r="AA14" s="2"/>
      <c r="AB14" s="1"/>
      <c r="AC14" s="2"/>
    </row>
    <row r="15" spans="1:58">
      <c r="A15">
        <f t="shared" si="12"/>
        <v>730</v>
      </c>
      <c r="B15" s="1">
        <v>-5.7316657757045304E-6</v>
      </c>
      <c r="C15" s="2">
        <f t="shared" si="0"/>
        <v>4.2850777542871459</v>
      </c>
      <c r="D15" s="1">
        <v>-7.6590250203776301E-5</v>
      </c>
      <c r="E15" s="2">
        <f t="shared" si="1"/>
        <v>57.259999132302333</v>
      </c>
      <c r="F15" s="2">
        <v>-5.9359699780774897E-6</v>
      </c>
      <c r="G15" s="2">
        <f t="shared" si="2"/>
        <v>4.4378185851301897</v>
      </c>
      <c r="H15" s="2">
        <v>-7.9649458460075793E-5</v>
      </c>
      <c r="I15" s="2">
        <f t="shared" si="3"/>
        <v>59.547108283077819</v>
      </c>
      <c r="J15" s="1">
        <v>-6.1342999999999999E-6</v>
      </c>
      <c r="K15" s="2">
        <f t="shared" si="4"/>
        <v>4.5860930306761638</v>
      </c>
      <c r="L15" s="1">
        <v>-8.2640999999999997E-5</v>
      </c>
      <c r="M15" s="2">
        <f t="shared" si="5"/>
        <v>61.783628800043829</v>
      </c>
      <c r="N15" s="1">
        <v>-6.3297680801267104E-6</v>
      </c>
      <c r="O15" s="2">
        <f t="shared" si="6"/>
        <v>4.7322278463827248</v>
      </c>
      <c r="P15" s="1">
        <v>-8.5606861553988504E-5</v>
      </c>
      <c r="Q15" s="2">
        <f t="shared" si="7"/>
        <v>64.000950581289786</v>
      </c>
      <c r="R15" s="1">
        <v>-6.5244124247196501E-6</v>
      </c>
      <c r="S15" s="2">
        <f t="shared" si="8"/>
        <v>4.8777468252716307</v>
      </c>
      <c r="T15" s="1">
        <v>-8.8579056433747398E-5</v>
      </c>
      <c r="U15" s="2">
        <f t="shared" si="9"/>
        <v>66.223007250163761</v>
      </c>
      <c r="V15" s="1">
        <v>-6.7197742442675504E-6</v>
      </c>
      <c r="W15" s="2">
        <f t="shared" si="10"/>
        <v>5.0238021990043853</v>
      </c>
      <c r="X15" s="1">
        <v>-9.1579612280661297E-5</v>
      </c>
      <c r="Y15" s="2">
        <f t="shared" si="11"/>
        <v>68.466266995804915</v>
      </c>
      <c r="Z15" s="1"/>
      <c r="AA15" s="2"/>
      <c r="AB15" s="1"/>
      <c r="AC15" s="2"/>
    </row>
    <row r="16" spans="1:58">
      <c r="A16">
        <f t="shared" si="12"/>
        <v>740</v>
      </c>
      <c r="B16" s="1">
        <v>-5.1918548132161599E-6</v>
      </c>
      <c r="C16" s="2">
        <f t="shared" si="0"/>
        <v>3.8290543289541148</v>
      </c>
      <c r="D16" s="1">
        <v>-4.5794807580014399E-5</v>
      </c>
      <c r="E16" s="2">
        <f t="shared" si="1"/>
        <v>33.774212206687565</v>
      </c>
      <c r="F16" s="1">
        <v>-5.3762202452640099E-6</v>
      </c>
      <c r="G16" s="2">
        <f t="shared" si="2"/>
        <v>3.9650260155843511</v>
      </c>
      <c r="H16" s="1">
        <v>-4.7632716675011797E-5</v>
      </c>
      <c r="I16" s="2">
        <f t="shared" si="3"/>
        <v>35.129691901248684</v>
      </c>
      <c r="J16" s="1">
        <v>-5.5550000000000002E-6</v>
      </c>
      <c r="K16" s="2">
        <f t="shared" si="4"/>
        <v>4.0968781991351353</v>
      </c>
      <c r="L16" s="1">
        <v>-4.9431000000000002E-5</v>
      </c>
      <c r="M16" s="2">
        <f t="shared" si="5"/>
        <v>36.455947121772972</v>
      </c>
      <c r="N16" s="1">
        <v>-5.7311085764229098E-6</v>
      </c>
      <c r="O16" s="2">
        <f t="shared" si="6"/>
        <v>4.2267603570879242</v>
      </c>
      <c r="P16" s="1">
        <v>-5.1215709165657198E-5</v>
      </c>
      <c r="Q16" s="2">
        <f t="shared" si="7"/>
        <v>37.772191239248698</v>
      </c>
      <c r="R16" s="1">
        <v>-5.9063440877856799E-6</v>
      </c>
      <c r="S16" s="2">
        <f t="shared" si="8"/>
        <v>4.3559986192330964</v>
      </c>
      <c r="T16" s="1">
        <v>-5.3005493223669397E-5</v>
      </c>
      <c r="U16" s="2">
        <f t="shared" si="9"/>
        <v>39.092178149857119</v>
      </c>
      <c r="V16" s="1">
        <v>-6.0821382484810897E-6</v>
      </c>
      <c r="W16" s="2">
        <f t="shared" si="10"/>
        <v>4.4856488918682507</v>
      </c>
      <c r="X16" s="1">
        <v>-5.48140607783056E-5</v>
      </c>
      <c r="Y16" s="2">
        <f t="shared" si="11"/>
        <v>40.426018111378667</v>
      </c>
      <c r="Z16" s="1"/>
      <c r="AA16" s="2"/>
      <c r="AB16" s="1"/>
      <c r="AC16" s="2"/>
    </row>
    <row r="17" spans="1:39">
      <c r="A17">
        <f t="shared" si="12"/>
        <v>750</v>
      </c>
      <c r="B17" s="1">
        <v>-4.8273398487935302E-6</v>
      </c>
      <c r="C17" s="2">
        <f t="shared" si="0"/>
        <v>3.5127506284765677</v>
      </c>
      <c r="D17" s="1">
        <v>-2.8659487883825501E-5</v>
      </c>
      <c r="E17" s="2">
        <f t="shared" si="1"/>
        <v>20.854888453914302</v>
      </c>
      <c r="F17" s="2">
        <v>-4.9979822253599598E-6</v>
      </c>
      <c r="G17" s="2">
        <f t="shared" si="2"/>
        <v>3.6369233891075128</v>
      </c>
      <c r="H17" s="2">
        <v>-2.97845521477332E-5</v>
      </c>
      <c r="I17" s="2">
        <f t="shared" si="3"/>
        <v>21.673573345367721</v>
      </c>
      <c r="J17" s="1">
        <v>-5.1633000000000002E-6</v>
      </c>
      <c r="K17" s="2">
        <f t="shared" si="4"/>
        <v>3.7572215522688004</v>
      </c>
      <c r="L17" s="1">
        <v>-3.0883000000000002E-5</v>
      </c>
      <c r="M17" s="2">
        <f t="shared" si="5"/>
        <v>22.472890050688004</v>
      </c>
      <c r="N17" s="1">
        <v>-5.3259857346061296E-6</v>
      </c>
      <c r="O17" s="2">
        <f t="shared" si="6"/>
        <v>3.8756044369179268</v>
      </c>
      <c r="P17" s="1">
        <v>-3.1970621446587001E-5</v>
      </c>
      <c r="Q17" s="2">
        <f t="shared" si="7"/>
        <v>23.264328615138343</v>
      </c>
      <c r="R17" s="1">
        <v>-5.4877755125439301E-6</v>
      </c>
      <c r="S17" s="2">
        <f t="shared" si="8"/>
        <v>3.9933353533095146</v>
      </c>
      <c r="T17" s="1">
        <v>-3.3059641707778898E-5</v>
      </c>
      <c r="U17" s="2">
        <f t="shared" si="9"/>
        <v>24.056785066672749</v>
      </c>
      <c r="V17" s="1">
        <v>-5.6499933334402703E-6</v>
      </c>
      <c r="W17" s="2">
        <f t="shared" si="10"/>
        <v>4.1113777472889099</v>
      </c>
      <c r="X17" s="1">
        <v>-3.4158299520587403E-5</v>
      </c>
      <c r="Y17" s="2">
        <f t="shared" si="11"/>
        <v>24.85625455573064</v>
      </c>
      <c r="Z17" s="1"/>
      <c r="AA17" s="2"/>
      <c r="AB17" s="1"/>
      <c r="AC17" s="2"/>
    </row>
    <row r="18" spans="1:39">
      <c r="A18">
        <f t="shared" si="12"/>
        <v>760</v>
      </c>
      <c r="B18" s="1">
        <v>-4.5801447701723898E-6</v>
      </c>
      <c r="C18" s="2">
        <f t="shared" si="0"/>
        <v>3.2890185444060669</v>
      </c>
      <c r="D18" s="1">
        <v>-2.0017488315726201E-5</v>
      </c>
      <c r="E18" s="2">
        <f t="shared" si="1"/>
        <v>14.374630843901731</v>
      </c>
      <c r="F18" s="1">
        <v>-4.7419349881877403E-6</v>
      </c>
      <c r="G18" s="2">
        <f t="shared" si="2"/>
        <v>3.4052006858137842</v>
      </c>
      <c r="H18" s="1">
        <v>-2.0789102527843498E-5</v>
      </c>
      <c r="I18" s="2">
        <f t="shared" si="3"/>
        <v>14.928729803678836</v>
      </c>
      <c r="J18" s="1">
        <v>-4.8986E-6</v>
      </c>
      <c r="K18" s="2">
        <f t="shared" si="4"/>
        <v>3.5177023980884217</v>
      </c>
      <c r="L18" s="1">
        <v>-2.1540999999999999E-5</v>
      </c>
      <c r="M18" s="2">
        <f t="shared" si="5"/>
        <v>15.468670101094739</v>
      </c>
      <c r="N18" s="1">
        <v>-5.0525754139187701E-6</v>
      </c>
      <c r="O18" s="2">
        <f t="shared" si="6"/>
        <v>3.6282727003765678</v>
      </c>
      <c r="P18" s="1">
        <v>-2.2283718971955701E-5</v>
      </c>
      <c r="Q18" s="2">
        <f t="shared" si="7"/>
        <v>16.002019284280614</v>
      </c>
      <c r="R18" s="1">
        <v>-5.20567267203514E-6</v>
      </c>
      <c r="S18" s="2">
        <f t="shared" si="8"/>
        <v>3.7382123958031626</v>
      </c>
      <c r="T18" s="1">
        <v>-2.3026315779962101E-5</v>
      </c>
      <c r="U18" s="2">
        <f t="shared" si="9"/>
        <v>16.535280741092137</v>
      </c>
      <c r="V18" s="1">
        <v>-5.3591315747096701E-6</v>
      </c>
      <c r="W18" s="2">
        <f t="shared" si="10"/>
        <v>3.848411789496506</v>
      </c>
      <c r="X18" s="1">
        <v>-2.3774409078196102E-5</v>
      </c>
      <c r="Y18" s="2">
        <f t="shared" si="11"/>
        <v>17.072489247439179</v>
      </c>
      <c r="Z18" s="1"/>
      <c r="AA18" s="2"/>
      <c r="AB18" s="1"/>
      <c r="AC18" s="2"/>
    </row>
    <row r="19" spans="1:39">
      <c r="A19">
        <f t="shared" si="12"/>
        <v>770</v>
      </c>
      <c r="B19" s="1">
        <v>-4.460798871638E-6</v>
      </c>
      <c r="C19" s="2">
        <f t="shared" si="0"/>
        <v>3.1617143183222898</v>
      </c>
      <c r="D19" s="1">
        <v>-1.54032548436853E-5</v>
      </c>
      <c r="E19" s="2">
        <f t="shared" si="1"/>
        <v>10.917482000295642</v>
      </c>
      <c r="F19" s="2">
        <v>-4.6173728635296704E-6</v>
      </c>
      <c r="G19" s="2">
        <f t="shared" si="2"/>
        <v>3.2726904565176871</v>
      </c>
      <c r="H19" s="1">
        <v>-1.5986762127506601E-5</v>
      </c>
      <c r="I19" s="2">
        <f t="shared" si="3"/>
        <v>11.331058892505022</v>
      </c>
      <c r="J19" s="1">
        <v>-4.7688E-6</v>
      </c>
      <c r="K19" s="2">
        <f t="shared" si="4"/>
        <v>3.3800186188799999</v>
      </c>
      <c r="L19" s="1">
        <v>-1.6554000000000001E-5</v>
      </c>
      <c r="M19" s="2">
        <f t="shared" si="5"/>
        <v>11.733104390399999</v>
      </c>
      <c r="N19" s="1">
        <v>-4.91757726047308E-6</v>
      </c>
      <c r="O19" s="2">
        <f t="shared" si="6"/>
        <v>3.4854686084926843</v>
      </c>
      <c r="P19" s="1">
        <v>-1.7113823510582599E-5</v>
      </c>
      <c r="Q19" s="2">
        <f t="shared" si="7"/>
        <v>12.129894754654309</v>
      </c>
      <c r="R19" s="1">
        <v>-5.0653678034538199E-6</v>
      </c>
      <c r="S19" s="2">
        <f t="shared" si="8"/>
        <v>3.5902192348492701</v>
      </c>
      <c r="T19" s="1">
        <v>-1.76724957924449E-5</v>
      </c>
      <c r="U19" s="2">
        <f t="shared" si="9"/>
        <v>12.525869153779194</v>
      </c>
      <c r="V19" s="1">
        <v>-5.2134451479351196E-6</v>
      </c>
      <c r="W19" s="2">
        <f t="shared" si="10"/>
        <v>3.6951731396850991</v>
      </c>
      <c r="X19" s="1">
        <v>-1.8234602116856501E-5</v>
      </c>
      <c r="Y19" s="2">
        <f t="shared" si="11"/>
        <v>12.924277525340472</v>
      </c>
      <c r="Z19" s="1"/>
      <c r="AA19" s="2"/>
      <c r="AB19" s="1"/>
      <c r="AC19" s="2"/>
    </row>
    <row r="20" spans="1:39">
      <c r="A20">
        <f t="shared" si="12"/>
        <v>780</v>
      </c>
      <c r="B20" s="1">
        <v>-4.3647074670241997E-6</v>
      </c>
      <c r="C20" s="2">
        <f t="shared" si="0"/>
        <v>3.0539452564720619</v>
      </c>
      <c r="D20" s="1">
        <v>-1.2605791914037899E-5</v>
      </c>
      <c r="E20" s="2">
        <f t="shared" si="1"/>
        <v>8.8201554653551479</v>
      </c>
      <c r="F20" s="1">
        <v>-4.5183324188033702E-6</v>
      </c>
      <c r="G20" s="2">
        <f t="shared" si="2"/>
        <v>3.1614352077016266</v>
      </c>
      <c r="H20" s="1">
        <v>-1.30776767202858E-5</v>
      </c>
      <c r="I20" s="2">
        <f t="shared" si="3"/>
        <v>9.1503288793879882</v>
      </c>
      <c r="J20" s="1">
        <v>-4.6667999999999999E-6</v>
      </c>
      <c r="K20" s="2">
        <f t="shared" si="4"/>
        <v>3.2653165946584615</v>
      </c>
      <c r="L20" s="1">
        <v>-1.3536000000000001E-5</v>
      </c>
      <c r="M20" s="2">
        <f t="shared" si="5"/>
        <v>9.4710134193230768</v>
      </c>
      <c r="N20" s="1">
        <v>-4.8125780806208197E-6</v>
      </c>
      <c r="O20" s="2">
        <f t="shared" si="6"/>
        <v>3.3673161630540691</v>
      </c>
      <c r="P20" s="1">
        <v>-1.3986912712589101E-5</v>
      </c>
      <c r="Q20" s="2">
        <f t="shared" si="7"/>
        <v>9.7865128543020035</v>
      </c>
      <c r="R20" s="1">
        <v>-4.9573647403392398E-6</v>
      </c>
      <c r="S20" s="2">
        <f t="shared" si="8"/>
        <v>3.4686220434568558</v>
      </c>
      <c r="T20" s="1">
        <v>-1.44367884457563E-5</v>
      </c>
      <c r="U20" s="2">
        <f t="shared" si="9"/>
        <v>10.101286724415356</v>
      </c>
      <c r="V20" s="1">
        <v>-5.1023643711565801E-6</v>
      </c>
      <c r="W20" s="2">
        <f t="shared" si="10"/>
        <v>3.5700769377585639</v>
      </c>
      <c r="X20" s="1">
        <v>-1.48888909755573E-5</v>
      </c>
      <c r="Y20" s="2">
        <f t="shared" si="11"/>
        <v>10.417618663441301</v>
      </c>
      <c r="Z20" s="1"/>
      <c r="AA20" s="2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>
        <f t="shared" si="12"/>
        <v>790</v>
      </c>
      <c r="B21" s="1">
        <v>-4.3272841885173498E-6</v>
      </c>
      <c r="C21" s="2">
        <f t="shared" si="0"/>
        <v>2.9894344535121036</v>
      </c>
      <c r="D21" s="1">
        <v>-1.0787682482071899E-5</v>
      </c>
      <c r="E21" s="2">
        <f t="shared" si="1"/>
        <v>7.4524963650478764</v>
      </c>
      <c r="F21" s="1">
        <v>-4.4790669523947102E-6</v>
      </c>
      <c r="G21" s="2">
        <f t="shared" si="2"/>
        <v>3.0942911266625068</v>
      </c>
      <c r="H21" s="1">
        <v>-1.11881003728421E-5</v>
      </c>
      <c r="I21" s="2">
        <f t="shared" si="3"/>
        <v>7.7291186034595434</v>
      </c>
      <c r="J21" s="1">
        <v>-4.6256000000000002E-6</v>
      </c>
      <c r="K21" s="2">
        <f t="shared" si="4"/>
        <v>3.1955211180394936</v>
      </c>
      <c r="L21" s="1">
        <v>-1.1576000000000001E-5</v>
      </c>
      <c r="M21" s="2">
        <f t="shared" si="5"/>
        <v>7.997092801458229</v>
      </c>
      <c r="N21" s="1">
        <v>-4.7694184290880697E-6</v>
      </c>
      <c r="O21" s="2">
        <f t="shared" si="6"/>
        <v>3.294875759018868</v>
      </c>
      <c r="P21" s="1">
        <v>-1.1958067578227E-5</v>
      </c>
      <c r="Q21" s="2">
        <f t="shared" si="7"/>
        <v>8.261038022563076</v>
      </c>
      <c r="R21" s="1">
        <v>-4.9121644558209499E-6</v>
      </c>
      <c r="S21" s="2">
        <f t="shared" si="8"/>
        <v>3.3934895481362033</v>
      </c>
      <c r="T21" s="1">
        <v>-1.23384208163584E-5</v>
      </c>
      <c r="U21" s="2">
        <f t="shared" si="9"/>
        <v>8.5237989194766861</v>
      </c>
      <c r="V21" s="1">
        <v>-5.0550730472506797E-6</v>
      </c>
      <c r="W21" s="2">
        <f t="shared" si="10"/>
        <v>3.4922156424510988</v>
      </c>
      <c r="X21" s="1">
        <v>-1.2720357649542399E-5</v>
      </c>
      <c r="Y21" s="2">
        <f t="shared" si="11"/>
        <v>8.7876538174783718</v>
      </c>
      <c r="Z21" s="1"/>
      <c r="AA21" s="2"/>
      <c r="AB21" s="1"/>
      <c r="AC21" s="2"/>
    </row>
    <row r="22" spans="1:39">
      <c r="A22">
        <f t="shared" si="12"/>
        <v>800</v>
      </c>
      <c r="B22" s="1">
        <v>-4.3359857653449698E-6</v>
      </c>
      <c r="C22" s="2">
        <f t="shared" si="0"/>
        <v>2.9580027249805445</v>
      </c>
      <c r="D22" s="1">
        <v>-9.6213388087454193E-6</v>
      </c>
      <c r="E22" s="2">
        <f t="shared" si="1"/>
        <v>6.5636623260375844</v>
      </c>
      <c r="F22" s="1">
        <v>-4.4871946943242904E-6</v>
      </c>
      <c r="G22" s="2">
        <f t="shared" si="2"/>
        <v>3.0611572204443078</v>
      </c>
      <c r="H22" s="1">
        <v>-9.9737723418286494E-6</v>
      </c>
      <c r="I22" s="2">
        <f t="shared" si="3"/>
        <v>6.8040919325106515</v>
      </c>
      <c r="J22" s="1">
        <v>-4.6330000000000004E-6</v>
      </c>
      <c r="K22" s="2">
        <f t="shared" si="4"/>
        <v>3.1606253725200006</v>
      </c>
      <c r="L22" s="1">
        <v>-1.0315E-5</v>
      </c>
      <c r="M22" s="2">
        <f t="shared" si="5"/>
        <v>7.0368769086000009</v>
      </c>
      <c r="N22" s="1">
        <v>-4.7760192834259003E-6</v>
      </c>
      <c r="O22" s="2">
        <f t="shared" si="6"/>
        <v>3.2581929045630669</v>
      </c>
      <c r="P22" s="1">
        <v>-1.06499658522532E-5</v>
      </c>
      <c r="Q22" s="2">
        <f t="shared" si="7"/>
        <v>7.2653900904604036</v>
      </c>
      <c r="R22" s="1">
        <v>-4.9178836307430504E-6</v>
      </c>
      <c r="S22" s="2">
        <f t="shared" si="8"/>
        <v>3.3549725409944449</v>
      </c>
      <c r="T22" s="1">
        <v>-1.09834682991504E-5</v>
      </c>
      <c r="U22" s="2">
        <f t="shared" si="9"/>
        <v>7.4929049394698568</v>
      </c>
      <c r="V22" s="1">
        <v>-5.0598113590864004E-6</v>
      </c>
      <c r="W22" s="2">
        <f t="shared" si="10"/>
        <v>3.4517954158630224</v>
      </c>
      <c r="X22" s="1">
        <v>-1.1318003925936E-5</v>
      </c>
      <c r="Y22" s="2">
        <f t="shared" si="11"/>
        <v>7.7211246221874159</v>
      </c>
      <c r="Z22" s="1"/>
      <c r="AA22" s="2"/>
      <c r="AB22" s="1"/>
      <c r="AC22" s="2"/>
    </row>
    <row r="23" spans="1:39">
      <c r="A23">
        <f t="shared" si="12"/>
        <v>810</v>
      </c>
      <c r="B23" s="1">
        <v>-4.3290871690336299E-6</v>
      </c>
      <c r="C23" s="2">
        <f t="shared" si="0"/>
        <v>2.9168360625567988</v>
      </c>
      <c r="D23" s="1">
        <v>-8.7627092146201795E-6</v>
      </c>
      <c r="E23" s="2">
        <f t="shared" si="1"/>
        <v>5.9041052408765555</v>
      </c>
      <c r="F23" s="1">
        <v>-4.4810434202989903E-6</v>
      </c>
      <c r="G23" s="2">
        <f t="shared" si="2"/>
        <v>3.0192205737286284</v>
      </c>
      <c r="H23" s="1">
        <v>-9.0827011702514808E-6</v>
      </c>
      <c r="I23" s="2">
        <f t="shared" si="3"/>
        <v>6.1197082166239367</v>
      </c>
      <c r="J23" s="1">
        <v>-4.6275000000000002E-6</v>
      </c>
      <c r="K23" s="2">
        <f t="shared" si="4"/>
        <v>3.1178995368888893</v>
      </c>
      <c r="L23" s="1">
        <v>-9.3919000000000007E-6</v>
      </c>
      <c r="M23" s="2">
        <f t="shared" si="5"/>
        <v>6.3280390406281493</v>
      </c>
      <c r="N23" s="1">
        <v>-4.7710776918897001E-6</v>
      </c>
      <c r="O23" s="2">
        <f t="shared" si="6"/>
        <v>3.2146387738527942</v>
      </c>
      <c r="P23" s="1">
        <v>-9.6956435788694805E-6</v>
      </c>
      <c r="Q23" s="2">
        <f t="shared" si="7"/>
        <v>6.5326942462229907</v>
      </c>
      <c r="R23" s="1">
        <v>-4.9134585408214598E-6</v>
      </c>
      <c r="S23" s="2">
        <f t="shared" si="8"/>
        <v>3.3105716064721742</v>
      </c>
      <c r="T23" s="1">
        <v>-9.9975465067907302E-6</v>
      </c>
      <c r="U23" s="2">
        <f t="shared" si="9"/>
        <v>6.736109264948233</v>
      </c>
      <c r="V23" s="1">
        <v>-5.0558831840821801E-6</v>
      </c>
      <c r="W23" s="2">
        <f t="shared" si="10"/>
        <v>3.4065339466697249</v>
      </c>
      <c r="X23" s="1">
        <v>-1.03002041170493E-5</v>
      </c>
      <c r="Y23" s="2">
        <f t="shared" si="11"/>
        <v>6.9400327706988749</v>
      </c>
      <c r="Z23" s="1"/>
      <c r="AA23" s="2"/>
      <c r="AB23" s="1"/>
      <c r="AC23" s="2"/>
    </row>
    <row r="24" spans="1:39">
      <c r="A24">
        <f t="shared" si="12"/>
        <v>820</v>
      </c>
      <c r="B24" s="1">
        <v>-4.3712716081082198E-6</v>
      </c>
      <c r="C24" s="2">
        <f t="shared" si="0"/>
        <v>2.9093411432855794</v>
      </c>
      <c r="D24" s="1">
        <v>-8.1487338214839304E-6</v>
      </c>
      <c r="E24" s="2">
        <f t="shared" si="1"/>
        <v>5.4234668302356841</v>
      </c>
      <c r="F24" s="1">
        <v>-4.5242375206750704E-6</v>
      </c>
      <c r="G24" s="2">
        <f t="shared" si="2"/>
        <v>3.0111490524819517</v>
      </c>
      <c r="H24" s="1">
        <v>-8.4453311022546594E-6</v>
      </c>
      <c r="I24" s="2">
        <f t="shared" si="3"/>
        <v>5.6208699543820568</v>
      </c>
      <c r="J24" s="1">
        <v>-4.6716000000000003E-6</v>
      </c>
      <c r="K24" s="2">
        <f t="shared" si="4"/>
        <v>3.1092275437112198</v>
      </c>
      <c r="L24" s="1">
        <v>-8.7315999999999995E-6</v>
      </c>
      <c r="M24" s="2">
        <f t="shared" si="5"/>
        <v>5.8113989255648777</v>
      </c>
      <c r="N24" s="1">
        <v>-4.8158423893079101E-6</v>
      </c>
      <c r="O24" s="2">
        <f t="shared" si="6"/>
        <v>3.2052294295333943</v>
      </c>
      <c r="P24" s="1">
        <v>-9.0125924018125898E-6</v>
      </c>
      <c r="Q24" s="2">
        <f t="shared" si="7"/>
        <v>5.9984160749974658</v>
      </c>
      <c r="R24" s="1">
        <v>-4.9588804997111703E-6</v>
      </c>
      <c r="S24" s="2">
        <f t="shared" si="8"/>
        <v>3.3004297961457372</v>
      </c>
      <c r="T24" s="1">
        <v>-9.29169349513777E-6</v>
      </c>
      <c r="U24" s="2">
        <f t="shared" si="9"/>
        <v>6.1841744461864732</v>
      </c>
      <c r="V24" s="1">
        <v>-5.1019385577820598E-6</v>
      </c>
      <c r="W24" s="2">
        <f t="shared" si="10"/>
        <v>3.3956434391168493</v>
      </c>
      <c r="X24" s="1">
        <v>-9.5713687602634092E-6</v>
      </c>
      <c r="Y24" s="2">
        <f t="shared" si="11"/>
        <v>6.3703149628452991</v>
      </c>
      <c r="Z24" s="1"/>
      <c r="AA24" s="2"/>
      <c r="AB24" s="1"/>
      <c r="AC24" s="2"/>
    </row>
    <row r="25" spans="1:39">
      <c r="A25">
        <f t="shared" si="12"/>
        <v>830</v>
      </c>
      <c r="B25" s="1">
        <v>-4.4288127259195298E-6</v>
      </c>
      <c r="C25" s="2">
        <f t="shared" si="0"/>
        <v>2.9121244652283864</v>
      </c>
      <c r="D25" s="1">
        <v>-7.7209759045584303E-6</v>
      </c>
      <c r="E25" s="2">
        <f t="shared" si="1"/>
        <v>5.0768556311974455</v>
      </c>
      <c r="F25" s="1">
        <v>-4.5820616059463104E-6</v>
      </c>
      <c r="G25" s="2">
        <f t="shared" si="2"/>
        <v>3.0128918357209322</v>
      </c>
      <c r="H25" s="1">
        <v>-7.9983835903492396E-6</v>
      </c>
      <c r="I25" s="2">
        <f t="shared" si="3"/>
        <v>5.2592624654051567</v>
      </c>
      <c r="J25" s="1">
        <v>-4.7295000000000002E-6</v>
      </c>
      <c r="K25" s="2">
        <f t="shared" si="4"/>
        <v>3.10983857540241</v>
      </c>
      <c r="L25" s="1">
        <v>-8.2657999999999997E-6</v>
      </c>
      <c r="M25" s="2">
        <f t="shared" si="5"/>
        <v>5.4350996292549389</v>
      </c>
      <c r="N25" s="1">
        <v>-4.8736579731659104E-6</v>
      </c>
      <c r="O25" s="2">
        <f t="shared" si="6"/>
        <v>3.2046283049516586</v>
      </c>
      <c r="P25" s="1">
        <v>-8.5278576874110495E-6</v>
      </c>
      <c r="Q25" s="2">
        <f t="shared" si="7"/>
        <v>5.6074132153193501</v>
      </c>
      <c r="R25" s="1">
        <v>-5.0165442263755501E-6</v>
      </c>
      <c r="S25" s="2">
        <f t="shared" si="8"/>
        <v>3.2985818269150915</v>
      </c>
      <c r="T25" s="1">
        <v>-8.7880295373527505E-6</v>
      </c>
      <c r="U25" s="2">
        <f t="shared" si="9"/>
        <v>5.7784867865599692</v>
      </c>
      <c r="V25" s="1">
        <v>-5.1593212700708197E-6</v>
      </c>
      <c r="W25" s="2">
        <f t="shared" si="10"/>
        <v>3.3924635391818141</v>
      </c>
      <c r="X25" s="1">
        <v>-9.04850057786928E-6</v>
      </c>
      <c r="Y25" s="2">
        <f t="shared" si="11"/>
        <v>5.9497570877701413</v>
      </c>
      <c r="Z25" s="1"/>
      <c r="AA25" s="2"/>
      <c r="AB25" s="1"/>
      <c r="AC25" s="2"/>
    </row>
    <row r="26" spans="1:39">
      <c r="A26">
        <f t="shared" si="12"/>
        <v>840</v>
      </c>
      <c r="B26" s="1">
        <v>-4.4416965243954202E-6</v>
      </c>
      <c r="C26" s="2">
        <f t="shared" si="0"/>
        <v>2.8858270856152171</v>
      </c>
      <c r="D26" s="1">
        <v>-7.3779886283378698E-6</v>
      </c>
      <c r="E26" s="2">
        <f t="shared" si="1"/>
        <v>4.7935736500855564</v>
      </c>
      <c r="F26" s="1">
        <v>-4.5965787067379298E-6</v>
      </c>
      <c r="G26" s="2">
        <f t="shared" si="2"/>
        <v>2.9864560219750795</v>
      </c>
      <c r="H26" s="1">
        <v>-7.6419733639154307E-6</v>
      </c>
      <c r="I26" s="2">
        <f t="shared" si="3"/>
        <v>4.9650879117949138</v>
      </c>
      <c r="J26" s="1">
        <v>-4.7454999999999997E-6</v>
      </c>
      <c r="K26" s="2">
        <f t="shared" si="4"/>
        <v>3.0832120923999997</v>
      </c>
      <c r="L26" s="1">
        <v>-7.8961000000000005E-6</v>
      </c>
      <c r="M26" s="2">
        <f t="shared" si="5"/>
        <v>5.1301972400800011</v>
      </c>
      <c r="N26" s="1">
        <v>-4.8910648126085698E-6</v>
      </c>
      <c r="O26" s="2">
        <f t="shared" si="6"/>
        <v>3.1777874143813896</v>
      </c>
      <c r="P26" s="1">
        <v>-8.14500550694808E-6</v>
      </c>
      <c r="Q26" s="2">
        <f t="shared" si="7"/>
        <v>5.2919143339346562</v>
      </c>
      <c r="R26" s="1">
        <v>-5.0352770066137699E-6</v>
      </c>
      <c r="S26" s="2">
        <f t="shared" si="8"/>
        <v>3.2714839227426511</v>
      </c>
      <c r="T26" s="1">
        <v>-8.3918732419795198E-6</v>
      </c>
      <c r="U26" s="2">
        <f t="shared" si="9"/>
        <v>5.4523074612915918</v>
      </c>
      <c r="V26" s="1">
        <v>-5.1793570454891902E-6</v>
      </c>
      <c r="W26" s="2">
        <f t="shared" si="10"/>
        <v>3.3650945682245093</v>
      </c>
      <c r="X26" s="1">
        <v>-8.6388695103354904E-6</v>
      </c>
      <c r="Y26" s="2">
        <f t="shared" si="11"/>
        <v>5.6127840983947008</v>
      </c>
      <c r="Z26" s="1"/>
      <c r="AA26" s="2"/>
      <c r="AB26" s="1"/>
      <c r="AC26" s="2"/>
    </row>
    <row r="27" spans="1:39">
      <c r="A27">
        <f t="shared" si="12"/>
        <v>850</v>
      </c>
      <c r="B27" s="1">
        <v>-4.4629157418451402E-6</v>
      </c>
      <c r="C27" s="2">
        <f t="shared" si="0"/>
        <v>2.8655003830006565</v>
      </c>
      <c r="D27" s="1">
        <v>-7.0612245437401298E-6</v>
      </c>
      <c r="E27" s="2">
        <f t="shared" si="1"/>
        <v>4.5337942289216269</v>
      </c>
      <c r="F27" s="1">
        <v>-4.6195024271612403E-6</v>
      </c>
      <c r="G27" s="2">
        <f t="shared" si="2"/>
        <v>2.9660398582452823</v>
      </c>
      <c r="H27" s="1">
        <v>-7.3153876268816597E-6</v>
      </c>
      <c r="I27" s="2">
        <f t="shared" si="3"/>
        <v>4.6969844960507956</v>
      </c>
      <c r="J27" s="1">
        <v>-4.7698999999999999E-6</v>
      </c>
      <c r="K27" s="2">
        <f t="shared" si="4"/>
        <v>3.062605495488</v>
      </c>
      <c r="L27" s="1">
        <v>-7.5599000000000002E-6</v>
      </c>
      <c r="M27" s="2">
        <f t="shared" si="5"/>
        <v>4.8539783402880001</v>
      </c>
      <c r="N27" s="1">
        <v>-4.9170260415068599E-6</v>
      </c>
      <c r="O27" s="2">
        <f t="shared" si="6"/>
        <v>3.1570705834873931</v>
      </c>
      <c r="P27" s="1">
        <v>-7.7992487673930896E-6</v>
      </c>
      <c r="Q27" s="2">
        <f t="shared" si="7"/>
        <v>5.0076567927411659</v>
      </c>
      <c r="R27" s="1">
        <v>-5.0626278921903202E-6</v>
      </c>
      <c r="S27" s="2">
        <f t="shared" si="8"/>
        <v>3.2505570356260938</v>
      </c>
      <c r="T27" s="1">
        <v>-8.0365027692321398E-6</v>
      </c>
      <c r="U27" s="2">
        <f t="shared" si="9"/>
        <v>5.1599902609184438</v>
      </c>
      <c r="V27" s="1">
        <v>-5.20812351926692E-6</v>
      </c>
      <c r="W27" s="2">
        <f t="shared" si="10"/>
        <v>3.3439752848670143</v>
      </c>
      <c r="X27" s="1">
        <v>-8.2738802126796299E-6</v>
      </c>
      <c r="Y27" s="2">
        <f t="shared" si="11"/>
        <v>5.3124029871406231</v>
      </c>
      <c r="Z27" s="1"/>
      <c r="AA27" s="2"/>
      <c r="AB27" s="1"/>
      <c r="AC27" s="2"/>
    </row>
    <row r="28" spans="1:39">
      <c r="C28" s="2"/>
      <c r="E28" s="2"/>
      <c r="F28" s="1"/>
      <c r="G28" s="2"/>
      <c r="I28" s="2"/>
      <c r="K28" s="2"/>
      <c r="M28" s="2"/>
      <c r="O28" s="2"/>
      <c r="Q28" s="2"/>
      <c r="S28" s="2"/>
      <c r="U28" s="2"/>
    </row>
    <row r="29" spans="1:39">
      <c r="F29" s="1"/>
    </row>
    <row r="30" spans="1:39">
      <c r="F30" s="1"/>
    </row>
    <row r="31" spans="1:39">
      <c r="F31" s="1"/>
    </row>
    <row r="32" spans="1:39">
      <c r="F32" s="1"/>
    </row>
    <row r="33" spans="6:6">
      <c r="F33" s="1"/>
    </row>
    <row r="34" spans="6:6">
      <c r="F34" s="1"/>
    </row>
    <row r="35" spans="6:6">
      <c r="F35" s="1"/>
    </row>
    <row r="36" spans="6:6">
      <c r="F36" s="1"/>
    </row>
    <row r="37" spans="6:6">
      <c r="F37" s="1"/>
    </row>
    <row r="38" spans="6:6">
      <c r="F38" s="1"/>
    </row>
    <row r="39" spans="6:6">
      <c r="F3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D8A4-F7C0-490B-9885-3762CCCDDEBA}">
  <dimension ref="A1:BF39"/>
  <sheetViews>
    <sheetView topLeftCell="N1" workbookViewId="0">
      <selection activeCell="U2" sqref="U2"/>
    </sheetView>
  </sheetViews>
  <sheetFormatPr defaultRowHeight="15"/>
  <cols>
    <col min="2" max="2" width="17.28515625" customWidth="1"/>
    <col min="3" max="3" width="18.85546875" customWidth="1"/>
    <col min="4" max="4" width="17.7109375" customWidth="1"/>
    <col min="5" max="5" width="15.7109375" customWidth="1"/>
    <col min="6" max="6" width="18" customWidth="1"/>
    <col min="14" max="14" width="16.5703125" customWidth="1"/>
    <col min="16" max="16" width="15.85546875" customWidth="1"/>
    <col min="21" max="21" width="14.85546875" customWidth="1"/>
  </cols>
  <sheetData>
    <row r="1" spans="1:58">
      <c r="A1" t="s">
        <v>0</v>
      </c>
      <c r="B1" t="s">
        <v>101</v>
      </c>
      <c r="C1" s="2" t="s">
        <v>102</v>
      </c>
      <c r="D1" t="s">
        <v>103</v>
      </c>
      <c r="E1" s="2" t="s">
        <v>104</v>
      </c>
      <c r="F1" t="s">
        <v>105</v>
      </c>
      <c r="G1" s="2" t="s">
        <v>106</v>
      </c>
      <c r="H1" t="s">
        <v>107</v>
      </c>
      <c r="I1" s="2" t="s">
        <v>108</v>
      </c>
      <c r="J1" t="s">
        <v>109</v>
      </c>
      <c r="K1" s="2" t="s">
        <v>110</v>
      </c>
      <c r="L1" t="s">
        <v>111</v>
      </c>
      <c r="M1" s="2" t="s">
        <v>112</v>
      </c>
      <c r="N1" t="s">
        <v>113</v>
      </c>
      <c r="O1" s="2" t="s">
        <v>114</v>
      </c>
      <c r="P1" t="s">
        <v>115</v>
      </c>
      <c r="Q1" s="2" t="s">
        <v>116</v>
      </c>
      <c r="R1" t="s">
        <v>117</v>
      </c>
      <c r="S1" s="2" t="s">
        <v>118</v>
      </c>
      <c r="T1" t="s">
        <v>119</v>
      </c>
      <c r="U1" s="2" t="s">
        <v>120</v>
      </c>
      <c r="W1" s="2"/>
      <c r="Y1" s="2"/>
      <c r="AA1" s="2"/>
      <c r="AC1" s="2"/>
    </row>
    <row r="2" spans="1:58">
      <c r="A2">
        <v>600</v>
      </c>
      <c r="B2" s="1">
        <v>-4.9338579725727797E-6</v>
      </c>
      <c r="C2" s="2">
        <f>-8.686*2*3.1416*(B2)/((A2)*10^-7)</f>
        <v>4.4878269494276175</v>
      </c>
      <c r="D2" s="1">
        <v>-2.63307057614366E-6</v>
      </c>
      <c r="E2" s="2">
        <f>-8.686*2*3.1416*(D2)/((A2)*10^-7)</f>
        <v>2.3950355192734749</v>
      </c>
      <c r="F2" s="1">
        <v>-4.0358250027834202E-6</v>
      </c>
      <c r="G2" s="2">
        <f>-8.686*2*3.1416*(F2)/((A2)*10^-7)</f>
        <v>3.6709780280157935</v>
      </c>
      <c r="H2" s="1">
        <v>-2.1504803244620901E-6</v>
      </c>
      <c r="I2" s="2">
        <f>-8.686*2*3.1416*(H2)/((A2)*10^-7)</f>
        <v>1.9560724301316423</v>
      </c>
      <c r="J2" s="2">
        <v>-3.33796115235368E-6</v>
      </c>
      <c r="K2" s="2">
        <f>-8.686*2*3.1416*(J2)/((A2)*10^-7)</f>
        <v>3.0362025212217105</v>
      </c>
      <c r="L2" s="2">
        <v>-1.77598283805876E-6</v>
      </c>
      <c r="M2" s="2">
        <f>-8.686*2*3.1416*(L2)/((A2)*10^-7)</f>
        <v>1.615430295453945</v>
      </c>
      <c r="N2" s="1">
        <v>-2.7944822198301902E-6</v>
      </c>
      <c r="O2" s="2">
        <f>-8.686*2*3.1416*(N2)/((A2)*10^-7)</f>
        <v>2.5418552146345239</v>
      </c>
      <c r="P2" s="1">
        <v>-1.48487628905867E-6</v>
      </c>
      <c r="Q2" s="2">
        <f>-8.686*2*3.1416*(P2)/((A2)*10^-7)</f>
        <v>1.3506403839850851</v>
      </c>
      <c r="R2" s="2">
        <v>-2.3658506019756502E-6</v>
      </c>
      <c r="S2" s="2">
        <f>-8.686*2*3.1416*(R2)/((A2)*10^-7)</f>
        <v>2.1519727865877996</v>
      </c>
      <c r="T2" s="2">
        <v>-1.2557088714667501E-6</v>
      </c>
      <c r="U2" s="2">
        <f>-8.686*2*3.1416*(T2)/((A2)*10^-7)</f>
        <v>1.1421901776117034</v>
      </c>
      <c r="V2" s="1"/>
      <c r="W2" s="2"/>
      <c r="X2" s="2"/>
      <c r="Y2" s="2"/>
      <c r="Z2" s="1"/>
      <c r="AA2" s="2"/>
      <c r="AB2" s="1"/>
      <c r="AC2" s="2"/>
    </row>
    <row r="3" spans="1:58">
      <c r="A3">
        <f>A2+10</f>
        <v>610</v>
      </c>
      <c r="B3" s="2">
        <v>-6.3327676374139399E-6</v>
      </c>
      <c r="C3" s="2">
        <f t="shared" ref="C3:C27" si="0">-8.686*2*3.1416*(B3)/((A3)*10^-7)</f>
        <v>5.6658415778705251</v>
      </c>
      <c r="D3" s="2">
        <v>-2.71981431110317E-6</v>
      </c>
      <c r="E3" s="2">
        <f t="shared" ref="E3:E27" si="1">-8.686*2*3.1416*(D3)/((A3)*10^-7)</f>
        <v>2.4333810886875504</v>
      </c>
      <c r="F3" s="2">
        <v>-5.1859044474264298E-6</v>
      </c>
      <c r="G3" s="2">
        <f t="shared" ref="G3:G27" si="2">-8.686*2*3.1416*(F3)/((A3)*10^-7)</f>
        <v>4.6397585888831117</v>
      </c>
      <c r="H3" s="2">
        <v>-2.2219888988266299E-6</v>
      </c>
      <c r="I3" s="2">
        <f t="shared" ref="I3:I27" si="3">-8.686*2*3.1416*(H3)/((A3)*10^-7)</f>
        <v>1.9879834235761897</v>
      </c>
      <c r="J3" s="1">
        <v>-4.2942595553251696E-6</v>
      </c>
      <c r="K3" s="2">
        <f t="shared" ref="K3:K27" si="4">-8.686*2*3.1416*(J3)/((A3)*10^-7)</f>
        <v>3.8420159601284252</v>
      </c>
      <c r="L3" s="1">
        <v>-1.83585954307742E-6</v>
      </c>
      <c r="M3" s="2">
        <f t="shared" ref="M3:M27" si="5">-8.686*2*3.1416*(L3)/((A3)*10^-7)</f>
        <v>1.6425187099626606</v>
      </c>
      <c r="N3" s="2">
        <v>-3.59926550565798E-6</v>
      </c>
      <c r="O3" s="2">
        <f t="shared" ref="O3:O27" si="6">-8.686*2*3.1416*(N3)/((A3)*10^-7)</f>
        <v>3.22021418112221</v>
      </c>
      <c r="P3" s="2">
        <v>-1.53573192244217E-6</v>
      </c>
      <c r="Q3" s="2">
        <f t="shared" ref="Q3:Q27" si="7">-8.686*2*3.1416*(P3)/((A3)*10^-7)</f>
        <v>1.3739985858993433</v>
      </c>
      <c r="R3" s="1">
        <v>-3.05055668446044E-6</v>
      </c>
      <c r="S3" s="2">
        <f t="shared" ref="S3:S27" si="8">-8.686*2*3.1416*(R3)/((A3)*10^-7)</f>
        <v>2.7292918180596515</v>
      </c>
      <c r="T3" s="1">
        <v>-1.2994479947066301E-6</v>
      </c>
      <c r="U3" s="2">
        <f t="shared" ref="U3:U27" si="9">-8.686*2*3.1416*(T3)/((A3)*10^-7)</f>
        <v>1.1625985506229393</v>
      </c>
      <c r="V3" s="2"/>
      <c r="W3" s="2"/>
      <c r="X3" s="1"/>
      <c r="Y3" s="2"/>
      <c r="Z3" s="1"/>
      <c r="AA3" s="2"/>
      <c r="AB3" s="1"/>
      <c r="AC3" s="2"/>
    </row>
    <row r="4" spans="1:58">
      <c r="A4">
        <f t="shared" ref="A4:A27" si="10">A3+10</f>
        <v>620</v>
      </c>
      <c r="B4" s="1">
        <v>-8.8908283994231394E-6</v>
      </c>
      <c r="C4" s="2">
        <f t="shared" si="0"/>
        <v>7.82620550244408</v>
      </c>
      <c r="D4" s="1">
        <v>-2.8789989414804E-6</v>
      </c>
      <c r="E4" s="2">
        <f t="shared" si="1"/>
        <v>2.5342562408252642</v>
      </c>
      <c r="F4" s="1">
        <v>-7.2925036992797699E-6</v>
      </c>
      <c r="G4" s="2">
        <f t="shared" si="2"/>
        <v>6.4192705127005008</v>
      </c>
      <c r="H4" s="1">
        <v>-2.35312808865079E-6</v>
      </c>
      <c r="I4" s="2">
        <f t="shared" si="3"/>
        <v>2.071355240255162</v>
      </c>
      <c r="J4" s="2">
        <v>-6.0487139678210398E-6</v>
      </c>
      <c r="K4" s="2">
        <f t="shared" si="4"/>
        <v>5.3244170746499657</v>
      </c>
      <c r="L4" s="2">
        <v>-1.9454274122965699E-6</v>
      </c>
      <c r="M4" s="2">
        <f t="shared" si="5"/>
        <v>1.7124742526476862</v>
      </c>
      <c r="N4" s="1">
        <v>-5.0778026842750696E-6</v>
      </c>
      <c r="O4" s="2">
        <f t="shared" si="6"/>
        <v>4.4697665417293733</v>
      </c>
      <c r="P4" s="1">
        <v>-1.6285162433562399E-6</v>
      </c>
      <c r="Q4" s="2">
        <f t="shared" si="7"/>
        <v>1.4335112783642414</v>
      </c>
      <c r="R4" s="2">
        <v>-4.3100622029377802E-6</v>
      </c>
      <c r="S4" s="2">
        <f t="shared" si="8"/>
        <v>3.7939583369640215</v>
      </c>
      <c r="T4" s="2">
        <v>-1.37893414414602E-6</v>
      </c>
      <c r="U4" s="2">
        <f t="shared" si="9"/>
        <v>1.2138151251601936</v>
      </c>
      <c r="V4" s="1"/>
      <c r="W4" s="2"/>
      <c r="X4" s="2"/>
      <c r="Y4" s="2"/>
      <c r="Z4" s="1"/>
      <c r="AA4" s="2"/>
      <c r="AB4" s="1"/>
      <c r="AC4" s="2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>
      <c r="A5">
        <f t="shared" si="10"/>
        <v>630</v>
      </c>
      <c r="B5" s="2">
        <v>-1.3619718439783699E-5</v>
      </c>
      <c r="C5" s="2">
        <f t="shared" si="0"/>
        <v>11.798540536964664</v>
      </c>
      <c r="D5" s="2">
        <v>-3.1554576113638902E-6</v>
      </c>
      <c r="E5" s="2">
        <f t="shared" si="1"/>
        <v>2.7335215999473932</v>
      </c>
      <c r="F5" s="2">
        <v>-1.11948441687819E-5</v>
      </c>
      <c r="G5" s="2">
        <f t="shared" si="2"/>
        <v>9.6979114006172811</v>
      </c>
      <c r="H5" s="2">
        <v>-2.58073128684402E-6</v>
      </c>
      <c r="I5" s="2">
        <f t="shared" si="3"/>
        <v>2.2356455338973751</v>
      </c>
      <c r="J5" s="1">
        <v>-9.3049093800826393E-6</v>
      </c>
      <c r="K5" s="2">
        <f t="shared" si="4"/>
        <v>8.0606916361063412</v>
      </c>
      <c r="L5" s="1">
        <v>-2.1352689646952198E-6</v>
      </c>
      <c r="M5" s="2">
        <f t="shared" si="5"/>
        <v>1.8497487704069766</v>
      </c>
      <c r="N5" s="2">
        <v>-7.8265316168119301E-6</v>
      </c>
      <c r="O5" s="2">
        <f t="shared" si="6"/>
        <v>6.7799970280632076</v>
      </c>
      <c r="P5" s="2">
        <v>-1.7888877234881201E-6</v>
      </c>
      <c r="Q5" s="2">
        <f t="shared" si="7"/>
        <v>1.5496843356174563</v>
      </c>
      <c r="R5" s="1">
        <v>-6.6551036668590502E-6</v>
      </c>
      <c r="S5" s="2">
        <f t="shared" si="8"/>
        <v>5.7652080502470149</v>
      </c>
      <c r="T5" s="1">
        <v>-1.51602198953669E-6</v>
      </c>
      <c r="U5" s="2">
        <f t="shared" si="9"/>
        <v>1.3133051889112715</v>
      </c>
      <c r="V5" s="2"/>
      <c r="W5" s="2"/>
      <c r="X5" s="1"/>
      <c r="Y5" s="2"/>
      <c r="Z5" s="1"/>
      <c r="AA5" s="2"/>
      <c r="AB5" s="1"/>
      <c r="AC5" s="2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8">
      <c r="A6">
        <f t="shared" si="10"/>
        <v>640</v>
      </c>
      <c r="B6" s="1">
        <v>-2.3798423607657999E-5</v>
      </c>
      <c r="C6" s="2">
        <f t="shared" si="0"/>
        <v>20.294059324504325</v>
      </c>
      <c r="D6" s="1">
        <v>-3.5564169344853598E-6</v>
      </c>
      <c r="E6" s="2">
        <f t="shared" si="1"/>
        <v>3.0327276058693684</v>
      </c>
      <c r="F6" s="1">
        <v>-1.9614995832675899E-5</v>
      </c>
      <c r="G6" s="2">
        <f t="shared" si="2"/>
        <v>16.7266494470725</v>
      </c>
      <c r="H6" s="1">
        <v>-2.9114337330215901E-6</v>
      </c>
      <c r="I6" s="2">
        <f t="shared" si="3"/>
        <v>2.4827194385383815</v>
      </c>
      <c r="J6" s="2">
        <v>-1.6346529824087702E-5</v>
      </c>
      <c r="K6" s="2">
        <f t="shared" si="4"/>
        <v>13.93947143175763</v>
      </c>
      <c r="L6" s="2">
        <v>-2.4114928698427101E-6</v>
      </c>
      <c r="M6" s="2">
        <f t="shared" si="5"/>
        <v>2.0563958423472748</v>
      </c>
      <c r="N6" s="1">
        <v>-1.37822665640996E-5</v>
      </c>
      <c r="O6" s="2">
        <f t="shared" si="6"/>
        <v>11.752800937116133</v>
      </c>
      <c r="P6" s="1">
        <v>-2.0225160004309798E-6</v>
      </c>
      <c r="Q6" s="2">
        <f t="shared" si="7"/>
        <v>1.7246965754613173</v>
      </c>
      <c r="R6" s="2">
        <v>-1.17444216550956E-5</v>
      </c>
      <c r="S6" s="2">
        <f t="shared" si="8"/>
        <v>10.015032664760545</v>
      </c>
      <c r="T6" s="2">
        <v>-1.7158822085093601E-6</v>
      </c>
      <c r="U6" s="2">
        <f t="shared" si="9"/>
        <v>1.4632152073360503</v>
      </c>
      <c r="V6" s="1"/>
      <c r="W6" s="2"/>
      <c r="X6" s="1"/>
      <c r="Y6" s="2"/>
      <c r="Z6" s="1"/>
      <c r="AA6" s="2"/>
      <c r="AB6" s="1"/>
      <c r="AC6" s="2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8">
      <c r="A7">
        <f t="shared" si="10"/>
        <v>650</v>
      </c>
      <c r="B7" s="2">
        <v>-4.7962870385206202E-5</v>
      </c>
      <c r="C7" s="2">
        <f t="shared" si="0"/>
        <v>40.271009667335228</v>
      </c>
      <c r="D7" s="2">
        <v>-4.1554360900928597E-6</v>
      </c>
      <c r="E7" s="2">
        <f t="shared" si="1"/>
        <v>3.4890240223766749</v>
      </c>
      <c r="F7" s="2">
        <v>-3.9562837743157802E-5</v>
      </c>
      <c r="G7" s="2">
        <f t="shared" si="2"/>
        <v>33.218099926591236</v>
      </c>
      <c r="H7" s="2">
        <v>-3.4064492037285398E-6</v>
      </c>
      <c r="I7" s="2">
        <f t="shared" si="3"/>
        <v>2.8601530248896641</v>
      </c>
      <c r="J7" s="1">
        <v>-3.2991770318704802E-5</v>
      </c>
      <c r="K7" s="2">
        <f t="shared" si="4"/>
        <v>27.700842146779966</v>
      </c>
      <c r="L7" s="1">
        <v>-2.82560914405514E-6</v>
      </c>
      <c r="M7" s="2">
        <f t="shared" si="5"/>
        <v>2.3724629539989563</v>
      </c>
      <c r="N7" s="2">
        <v>-2.7829304319672402E-5</v>
      </c>
      <c r="O7" s="2">
        <f t="shared" si="6"/>
        <v>23.366286760819413</v>
      </c>
      <c r="P7" s="2">
        <v>-2.3732014413660301E-6</v>
      </c>
      <c r="Q7" s="2">
        <f t="shared" si="7"/>
        <v>1.9926083952069629</v>
      </c>
      <c r="R7" s="1">
        <v>-2.3720378414630299E-5</v>
      </c>
      <c r="S7" s="2">
        <f t="shared" si="8"/>
        <v>19.916314031594418</v>
      </c>
      <c r="T7" s="1">
        <v>-2.0161804918996802E-6</v>
      </c>
      <c r="U7" s="2">
        <f t="shared" si="9"/>
        <v>1.6928433062552548</v>
      </c>
      <c r="V7" s="1"/>
      <c r="W7" s="2"/>
      <c r="X7" s="1"/>
      <c r="Y7" s="2"/>
      <c r="Z7" s="1"/>
      <c r="AA7" s="2"/>
      <c r="AB7" s="1"/>
      <c r="AC7" s="2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>
      <c r="A8">
        <f t="shared" si="10"/>
        <v>660</v>
      </c>
      <c r="B8" s="1">
        <v>-8.51315586878702E-5</v>
      </c>
      <c r="C8" s="2">
        <f t="shared" si="0"/>
        <v>70.395898826222435</v>
      </c>
      <c r="D8" s="1">
        <v>-5.1084476359736798E-6</v>
      </c>
      <c r="E8" s="2">
        <f t="shared" si="1"/>
        <v>4.2242121310096152</v>
      </c>
      <c r="F8" s="1">
        <v>-6.9193793417151003E-5</v>
      </c>
      <c r="G8" s="2">
        <f t="shared" si="2"/>
        <v>57.216845971954776</v>
      </c>
      <c r="H8" s="1">
        <v>-4.1957787692773297E-6</v>
      </c>
      <c r="I8" s="2">
        <f t="shared" si="3"/>
        <v>3.4695196739225631</v>
      </c>
      <c r="J8" s="2">
        <v>-5.6887029604581101E-5</v>
      </c>
      <c r="K8" s="2">
        <f t="shared" si="4"/>
        <v>47.040294366641277</v>
      </c>
      <c r="L8" s="2">
        <v>-3.4873348887195701E-6</v>
      </c>
      <c r="M8" s="2">
        <f t="shared" si="5"/>
        <v>2.8837023282934116</v>
      </c>
      <c r="N8" s="1">
        <v>-4.7359314802317099E-5</v>
      </c>
      <c r="O8" s="2">
        <f t="shared" si="6"/>
        <v>39.161758397102588</v>
      </c>
      <c r="P8" s="1">
        <v>-2.9346915005446499E-6</v>
      </c>
      <c r="Q8" s="2">
        <f t="shared" si="7"/>
        <v>2.4267175315791754</v>
      </c>
      <c r="R8" s="2">
        <v>-3.9885909409672901E-5</v>
      </c>
      <c r="S8" s="2">
        <f t="shared" si="8"/>
        <v>32.981945669406272</v>
      </c>
      <c r="T8" s="2">
        <v>-2.4978420951787502E-6</v>
      </c>
      <c r="U8" s="2">
        <f t="shared" si="9"/>
        <v>2.065483612966394</v>
      </c>
      <c r="V8" s="1"/>
      <c r="W8" s="2"/>
      <c r="X8" s="1"/>
      <c r="Y8" s="2"/>
      <c r="Z8" s="1"/>
      <c r="AA8" s="2"/>
      <c r="AB8" s="1"/>
      <c r="AC8" s="2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8">
      <c r="A9">
        <f t="shared" si="10"/>
        <v>670</v>
      </c>
      <c r="B9" s="2">
        <v>-6.43716373562309E-5</v>
      </c>
      <c r="C9" s="2">
        <f t="shared" si="0"/>
        <v>52.434902190646504</v>
      </c>
      <c r="D9" s="2">
        <v>-7.1033761214162004E-6</v>
      </c>
      <c r="E9" s="2">
        <f t="shared" si="1"/>
        <v>5.7861637119562772</v>
      </c>
      <c r="F9" s="2">
        <v>-5.1912094408744298E-5</v>
      </c>
      <c r="G9" s="2">
        <f t="shared" si="2"/>
        <v>42.285790833167859</v>
      </c>
      <c r="H9" s="2">
        <v>-5.8497574435247896E-6</v>
      </c>
      <c r="I9" s="2">
        <f t="shared" si="3"/>
        <v>4.765009435642984</v>
      </c>
      <c r="J9" s="1">
        <v>-4.2309751126869501E-5</v>
      </c>
      <c r="K9" s="2">
        <f t="shared" si="4"/>
        <v>34.464055182732672</v>
      </c>
      <c r="L9" s="1">
        <v>-4.8741316618453702E-6</v>
      </c>
      <c r="M9" s="2">
        <f t="shared" si="5"/>
        <v>3.9702985266453954</v>
      </c>
      <c r="N9" s="2">
        <v>-3.4927476534618101E-5</v>
      </c>
      <c r="O9" s="2">
        <f t="shared" si="6"/>
        <v>28.450710453794716</v>
      </c>
      <c r="P9" s="2">
        <v>-4.1110297819504502E-6</v>
      </c>
      <c r="Q9" s="2">
        <f t="shared" si="7"/>
        <v>3.3487022137792684</v>
      </c>
      <c r="R9" s="1">
        <v>-2.9188794031436199E-5</v>
      </c>
      <c r="S9" s="2">
        <f t="shared" si="8"/>
        <v>23.776178810420401</v>
      </c>
      <c r="T9" s="1">
        <v>-3.5060349340865598E-6</v>
      </c>
      <c r="U9" s="2">
        <f t="shared" si="9"/>
        <v>2.8558944031275866</v>
      </c>
      <c r="V9" s="1"/>
      <c r="W9" s="2"/>
      <c r="X9" s="1"/>
      <c r="Y9" s="2"/>
      <c r="Z9" s="1"/>
      <c r="AA9" s="2"/>
      <c r="AB9" s="1"/>
      <c r="AC9" s="2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8">
      <c r="A10">
        <f t="shared" si="10"/>
        <v>680</v>
      </c>
      <c r="B10" s="1">
        <v>-3.7073155070782897E-5</v>
      </c>
      <c r="C10" s="2">
        <f t="shared" si="0"/>
        <v>29.754410064901389</v>
      </c>
      <c r="D10" s="1">
        <v>-1.0621802297223E-5</v>
      </c>
      <c r="E10" s="2">
        <f t="shared" si="1"/>
        <v>8.5249140672399371</v>
      </c>
      <c r="F10" s="1">
        <v>-2.9939252758243601E-5</v>
      </c>
      <c r="G10" s="2">
        <f t="shared" si="2"/>
        <v>24.028837089928803</v>
      </c>
      <c r="H10" s="1">
        <v>-8.7783001834851599E-6</v>
      </c>
      <c r="I10" s="2">
        <f t="shared" si="3"/>
        <v>7.0453443423826938</v>
      </c>
      <c r="J10" s="2">
        <v>-2.44298692024435E-5</v>
      </c>
      <c r="K10" s="2">
        <f t="shared" si="4"/>
        <v>19.607080775660002</v>
      </c>
      <c r="L10" s="2">
        <v>-7.3389906376962799E-6</v>
      </c>
      <c r="M10" s="2">
        <f t="shared" si="5"/>
        <v>5.8901740755423617</v>
      </c>
      <c r="N10" s="1">
        <v>-2.0188032022648599E-5</v>
      </c>
      <c r="O10" s="2">
        <f t="shared" si="6"/>
        <v>16.202639944142256</v>
      </c>
      <c r="P10" s="1">
        <v>-6.2090676090700201E-6</v>
      </c>
      <c r="Q10" s="2">
        <f t="shared" si="7"/>
        <v>4.9833132197201149</v>
      </c>
      <c r="R10" s="1">
        <v>-1.6887015672528999E-5</v>
      </c>
      <c r="S10" s="2">
        <f t="shared" si="8"/>
        <v>13.553289115358629</v>
      </c>
      <c r="T10" s="1">
        <v>-5.3101793086176703E-6</v>
      </c>
      <c r="U10" s="2">
        <f t="shared" si="9"/>
        <v>4.2618776946579446</v>
      </c>
      <c r="V10" s="1"/>
      <c r="W10" s="2"/>
      <c r="X10" s="1"/>
      <c r="Y10" s="2"/>
      <c r="Z10" s="1"/>
      <c r="AA10" s="2"/>
      <c r="AB10" s="1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8">
      <c r="A11">
        <f t="shared" si="10"/>
        <v>690</v>
      </c>
      <c r="B11" s="2">
        <v>-2.31523742842145E-5</v>
      </c>
      <c r="C11" s="2">
        <f t="shared" si="0"/>
        <v>18.312479558246086</v>
      </c>
      <c r="D11" s="2">
        <v>-1.7396753992605101E-5</v>
      </c>
      <c r="E11" s="2">
        <f t="shared" si="1"/>
        <v>13.760044562108952</v>
      </c>
      <c r="F11" s="2">
        <v>-1.8726706189436399E-5</v>
      </c>
      <c r="G11" s="2">
        <f t="shared" si="2"/>
        <v>14.811976520315195</v>
      </c>
      <c r="H11" s="2">
        <v>-1.44545189830347E-5</v>
      </c>
      <c r="I11" s="2">
        <f t="shared" si="3"/>
        <v>11.432869914407721</v>
      </c>
      <c r="J11" s="1">
        <v>-1.5309286941578701E-5</v>
      </c>
      <c r="K11" s="2">
        <f t="shared" si="4"/>
        <v>12.108952659776651</v>
      </c>
      <c r="L11" s="1">
        <v>-1.2143950191936499E-5</v>
      </c>
      <c r="M11" s="2">
        <f t="shared" si="5"/>
        <v>9.6053146392774273</v>
      </c>
      <c r="N11" s="2">
        <v>-1.26757336086433E-5</v>
      </c>
      <c r="O11" s="2">
        <f t="shared" si="6"/>
        <v>10.025931239040036</v>
      </c>
      <c r="P11" s="2">
        <v>-1.0319308804692701E-5</v>
      </c>
      <c r="Q11" s="2">
        <f t="shared" si="7"/>
        <v>8.1621059344227547</v>
      </c>
      <c r="R11" s="1">
        <v>-1.06236159561276E-5</v>
      </c>
      <c r="S11" s="2">
        <f t="shared" si="8"/>
        <v>8.4027991100630235</v>
      </c>
      <c r="T11" s="1">
        <v>-8.8592615782493404E-6</v>
      </c>
      <c r="U11" s="2">
        <f t="shared" si="9"/>
        <v>7.0072746994013189</v>
      </c>
      <c r="V11" s="1"/>
      <c r="W11" s="2"/>
      <c r="X11" s="1"/>
      <c r="Y11" s="2"/>
      <c r="Z11" s="1"/>
      <c r="AA11" s="2"/>
      <c r="AB11" s="1"/>
      <c r="AC11" s="2"/>
    </row>
    <row r="12" spans="1:58">
      <c r="A12">
        <f t="shared" si="10"/>
        <v>700</v>
      </c>
      <c r="B12" s="1">
        <v>-1.61078190057847E-5</v>
      </c>
      <c r="C12" s="2">
        <f t="shared" si="0"/>
        <v>12.558547425769914</v>
      </c>
      <c r="D12" s="1">
        <v>-3.2113100316548697E-5</v>
      </c>
      <c r="E12" s="2">
        <f t="shared" si="1"/>
        <v>25.037150788014891</v>
      </c>
      <c r="F12" s="1">
        <v>-1.30443997584608E-5</v>
      </c>
      <c r="G12" s="2">
        <f t="shared" si="2"/>
        <v>10.170136189666668</v>
      </c>
      <c r="H12" s="1">
        <v>-2.6884396396999899E-5</v>
      </c>
      <c r="I12" s="2">
        <f t="shared" si="3"/>
        <v>20.960563751285662</v>
      </c>
      <c r="J12" s="2">
        <v>-1.06802640005371E-5</v>
      </c>
      <c r="K12" s="2">
        <f t="shared" si="4"/>
        <v>8.3269250742337935</v>
      </c>
      <c r="L12" s="2">
        <v>-2.27395545512535E-5</v>
      </c>
      <c r="M12" s="2">
        <f t="shared" si="5"/>
        <v>17.729015589897188</v>
      </c>
      <c r="N12" s="1">
        <v>-8.8576268571231603E-6</v>
      </c>
      <c r="O12" s="2">
        <f t="shared" si="6"/>
        <v>6.9058962560360264</v>
      </c>
      <c r="P12" s="1">
        <v>-1.94360442823777E-5</v>
      </c>
      <c r="Q12" s="2">
        <f t="shared" si="7"/>
        <v>15.153416101953129</v>
      </c>
      <c r="R12" s="1">
        <v>-7.4357956205108098E-6</v>
      </c>
      <c r="S12" s="2">
        <f t="shared" si="8"/>
        <v>5.7973579113957792</v>
      </c>
      <c r="T12" s="1">
        <v>-1.6770474908783899E-5</v>
      </c>
      <c r="U12" s="2">
        <f t="shared" si="9"/>
        <v>13.075190652378879</v>
      </c>
      <c r="V12" s="1"/>
      <c r="W12" s="2"/>
      <c r="X12" s="1"/>
      <c r="Y12" s="2"/>
      <c r="Z12" s="1"/>
      <c r="AA12" s="2"/>
      <c r="AB12" s="1"/>
      <c r="AC12" s="2"/>
    </row>
    <row r="13" spans="1:58">
      <c r="A13">
        <f t="shared" si="10"/>
        <v>710</v>
      </c>
      <c r="B13" s="2">
        <v>-1.2505485075782799E-5</v>
      </c>
      <c r="C13" s="2">
        <f t="shared" si="0"/>
        <v>9.6126449691744327</v>
      </c>
      <c r="D13" s="2">
        <v>-6.64829745179085E-5</v>
      </c>
      <c r="E13" s="2">
        <f t="shared" si="1"/>
        <v>51.103753805833165</v>
      </c>
      <c r="F13" s="2">
        <v>-1.01354302626514E-5</v>
      </c>
      <c r="G13" s="2">
        <f t="shared" si="2"/>
        <v>7.7908447480671272</v>
      </c>
      <c r="H13" s="2">
        <v>-5.59805738583144E-5</v>
      </c>
      <c r="I13" s="2">
        <f t="shared" si="3"/>
        <v>43.030828345292242</v>
      </c>
      <c r="J13" s="1">
        <v>-8.30806904442785E-6</v>
      </c>
      <c r="K13" s="2">
        <f t="shared" si="4"/>
        <v>6.3861991453757412</v>
      </c>
      <c r="L13" s="1">
        <v>-4.7571435598617102E-5</v>
      </c>
      <c r="M13" s="2">
        <f t="shared" si="5"/>
        <v>36.566939891760065</v>
      </c>
      <c r="N13" s="2">
        <v>-6.8989776960545903E-6</v>
      </c>
      <c r="O13" s="2">
        <f t="shared" si="6"/>
        <v>5.3030668415135054</v>
      </c>
      <c r="P13" s="1">
        <v>-4.0809312078509202E-5</v>
      </c>
      <c r="Q13" s="2">
        <f t="shared" si="7"/>
        <v>31.369069337951704</v>
      </c>
      <c r="R13" s="1">
        <v>-5.7991991397083498E-6</v>
      </c>
      <c r="S13" s="2">
        <f t="shared" si="8"/>
        <v>4.4576953311080318</v>
      </c>
      <c r="T13" s="1">
        <v>-3.5306880566861497E-5</v>
      </c>
      <c r="U13" s="2">
        <f t="shared" si="9"/>
        <v>27.139491655187864</v>
      </c>
      <c r="V13" s="1"/>
      <c r="W13" s="2"/>
      <c r="X13" s="1"/>
      <c r="Y13" s="2"/>
      <c r="Z13" s="1"/>
      <c r="AA13" s="2"/>
      <c r="AB13" s="1"/>
      <c r="AC13" s="2"/>
    </row>
    <row r="14" spans="1:58">
      <c r="A14">
        <f t="shared" si="10"/>
        <v>720</v>
      </c>
      <c r="B14" s="1">
        <v>-1.0498796194040001E-5</v>
      </c>
      <c r="C14" s="2">
        <f t="shared" si="0"/>
        <v>7.9580693171689179</v>
      </c>
      <c r="D14" s="1">
        <v>-1.3026133971223499E-4</v>
      </c>
      <c r="E14" s="2">
        <f t="shared" si="1"/>
        <v>98.737869715551952</v>
      </c>
      <c r="F14" s="1">
        <v>-8.51470929527929E-6</v>
      </c>
      <c r="G14" s="2">
        <f t="shared" si="2"/>
        <v>6.4541348869922563</v>
      </c>
      <c r="H14" s="1">
        <v>-1.07266827973498E-4</v>
      </c>
      <c r="I14" s="2">
        <f t="shared" si="3"/>
        <v>81.308069674742995</v>
      </c>
      <c r="J14" s="2">
        <v>-6.9857182600887797E-6</v>
      </c>
      <c r="K14" s="2">
        <f t="shared" si="4"/>
        <v>5.2951623325689772</v>
      </c>
      <c r="L14" s="2">
        <v>-8.9227202329098901E-5</v>
      </c>
      <c r="M14" s="2">
        <f t="shared" si="5"/>
        <v>67.634064704972928</v>
      </c>
      <c r="N14" s="1">
        <v>-5.8065004103651201E-6</v>
      </c>
      <c r="O14" s="2">
        <f t="shared" si="6"/>
        <v>4.4013172464560499</v>
      </c>
      <c r="P14" s="1">
        <v>-7.5020323736212896E-5</v>
      </c>
      <c r="Q14" s="2">
        <f t="shared" si="7"/>
        <v>56.865275356821563</v>
      </c>
      <c r="R14" s="1">
        <v>-4.88572653944752E-6</v>
      </c>
      <c r="S14" s="2">
        <f t="shared" si="8"/>
        <v>3.7033722483085518</v>
      </c>
      <c r="T14" s="1">
        <v>-6.3693589022169406E-5</v>
      </c>
      <c r="U14" s="2">
        <f t="shared" si="9"/>
        <v>48.27963007658343</v>
      </c>
      <c r="V14" s="1"/>
      <c r="W14" s="2"/>
      <c r="X14" s="1"/>
      <c r="Y14" s="2"/>
      <c r="Z14" s="1"/>
      <c r="AA14" s="2"/>
      <c r="AB14" s="1"/>
      <c r="AC14" s="2"/>
    </row>
    <row r="15" spans="1:58">
      <c r="A15">
        <f t="shared" si="10"/>
        <v>730</v>
      </c>
      <c r="B15" s="2">
        <v>-9.2099012994962701E-6</v>
      </c>
      <c r="C15" s="2">
        <f t="shared" si="0"/>
        <v>6.8854578619948805</v>
      </c>
      <c r="D15" s="2">
        <v>-1.2877007319040399E-4</v>
      </c>
      <c r="E15" s="2">
        <f t="shared" si="1"/>
        <v>96.270403341566492</v>
      </c>
      <c r="F15" s="2">
        <v>-7.4721271089932703E-6</v>
      </c>
      <c r="G15" s="2">
        <f t="shared" si="2"/>
        <v>5.5862722819034731</v>
      </c>
      <c r="H15" s="2">
        <v>-1.02508041849285E-4</v>
      </c>
      <c r="I15" s="2">
        <f t="shared" si="3"/>
        <v>76.63652190360213</v>
      </c>
      <c r="J15" s="1">
        <v>-6.1343303050096198E-6</v>
      </c>
      <c r="K15" s="2">
        <f t="shared" si="4"/>
        <v>4.5861156871477116</v>
      </c>
      <c r="L15" s="1">
        <v>-8.2640622615078304E-5</v>
      </c>
      <c r="M15" s="2">
        <f t="shared" si="5"/>
        <v>61.78334666151796</v>
      </c>
      <c r="N15" s="1">
        <v>-5.1029412701009103E-6</v>
      </c>
      <c r="O15" s="2">
        <f t="shared" si="6"/>
        <v>3.8150340535610514</v>
      </c>
      <c r="P15" s="1">
        <v>-6.7599327151550399E-5</v>
      </c>
      <c r="Q15" s="2">
        <f t="shared" si="7"/>
        <v>50.53825263324638</v>
      </c>
      <c r="R15" s="1">
        <v>-4.2973749652835903E-6</v>
      </c>
      <c r="S15" s="2">
        <f t="shared" si="8"/>
        <v>3.2127808190811171</v>
      </c>
      <c r="T15" s="1">
        <v>-5.6055622344565901E-5</v>
      </c>
      <c r="U15" s="2">
        <f t="shared" si="9"/>
        <v>41.908008895004933</v>
      </c>
      <c r="V15" s="1"/>
      <c r="W15" s="2"/>
      <c r="X15" s="1"/>
      <c r="Y15" s="2"/>
      <c r="Z15" s="1"/>
      <c r="AA15" s="2"/>
      <c r="AB15" s="1"/>
      <c r="AC15" s="2"/>
    </row>
    <row r="16" spans="1:58">
      <c r="A16">
        <f t="shared" si="10"/>
        <v>740</v>
      </c>
      <c r="B16" s="1">
        <v>-8.3320903543688106E-6</v>
      </c>
      <c r="C16" s="2">
        <f t="shared" si="0"/>
        <v>6.145015180204811</v>
      </c>
      <c r="D16" s="1">
        <v>-7.6813004871076901E-5</v>
      </c>
      <c r="E16" s="2">
        <f t="shared" si="1"/>
        <v>56.650499561903857</v>
      </c>
      <c r="F16" s="1">
        <v>-6.7626199510801102E-6</v>
      </c>
      <c r="G16" s="2">
        <f t="shared" si="2"/>
        <v>4.9875121956105168</v>
      </c>
      <c r="H16" s="1">
        <v>-6.1274815392193906E-5</v>
      </c>
      <c r="I16" s="2">
        <f t="shared" si="3"/>
        <v>45.190901050640726</v>
      </c>
      <c r="J16" s="2">
        <v>-5.5550479229794303E-6</v>
      </c>
      <c r="K16" s="2">
        <f t="shared" si="4"/>
        <v>4.0969135428992516</v>
      </c>
      <c r="L16" s="1">
        <v>-4.9430983088038499E-5</v>
      </c>
      <c r="M16" s="2">
        <f t="shared" si="5"/>
        <v>36.45593464900135</v>
      </c>
      <c r="N16" s="1">
        <v>-4.6240399150786599E-6</v>
      </c>
      <c r="O16" s="2">
        <f t="shared" si="6"/>
        <v>3.4102841260155614</v>
      </c>
      <c r="P16" s="1">
        <v>-4.0435581034447398E-5</v>
      </c>
      <c r="Q16" s="2">
        <f t="shared" si="7"/>
        <v>29.821719245614702</v>
      </c>
      <c r="R16" s="1">
        <v>-3.89671635818648E-6</v>
      </c>
      <c r="S16" s="2">
        <f t="shared" si="8"/>
        <v>2.8738744007322139</v>
      </c>
      <c r="T16" s="1">
        <v>-3.3524903954818699E-5</v>
      </c>
      <c r="U16" s="2">
        <f t="shared" si="9"/>
        <v>24.725013166623945</v>
      </c>
      <c r="V16" s="1"/>
      <c r="W16" s="2"/>
      <c r="X16" s="1"/>
      <c r="Y16" s="2"/>
      <c r="Z16" s="1"/>
      <c r="AA16" s="2"/>
      <c r="AB16" s="1"/>
      <c r="AC16" s="2"/>
    </row>
    <row r="17" spans="1:39">
      <c r="A17">
        <f>A16+10</f>
        <v>750</v>
      </c>
      <c r="B17" s="2">
        <v>-7.7411533320688496E-6</v>
      </c>
      <c r="C17" s="2">
        <f t="shared" si="0"/>
        <v>5.6330695754007163</v>
      </c>
      <c r="D17" s="2">
        <v>-4.76543085062471E-5</v>
      </c>
      <c r="E17" s="2">
        <f t="shared" si="1"/>
        <v>34.677007917056542</v>
      </c>
      <c r="F17" s="2">
        <v>-6.2833635796561498E-6</v>
      </c>
      <c r="G17" s="2">
        <f t="shared" si="2"/>
        <v>4.5722675541271904</v>
      </c>
      <c r="H17" s="2">
        <v>-3.8145736459745098E-5</v>
      </c>
      <c r="I17" s="2">
        <f t="shared" si="3"/>
        <v>27.757826032521844</v>
      </c>
      <c r="J17" s="1">
        <v>-5.1633343471198598E-6</v>
      </c>
      <c r="K17" s="2">
        <f t="shared" si="4"/>
        <v>3.757246545923826</v>
      </c>
      <c r="L17" s="1">
        <v>-3.0882812296472802E-5</v>
      </c>
      <c r="M17" s="2">
        <f t="shared" si="5"/>
        <v>22.472753462897671</v>
      </c>
      <c r="N17" s="1">
        <v>-4.3002981531839202E-6</v>
      </c>
      <c r="O17" s="2">
        <f t="shared" si="6"/>
        <v>3.1292338044127481</v>
      </c>
      <c r="P17" s="1">
        <v>-2.5350684474999499E-5</v>
      </c>
      <c r="Q17" s="2">
        <f t="shared" si="7"/>
        <v>18.44714389522867</v>
      </c>
      <c r="R17" s="1">
        <v>-3.62627361384529E-6</v>
      </c>
      <c r="S17" s="2">
        <f t="shared" si="8"/>
        <v>2.6387607492036471</v>
      </c>
      <c r="T17" s="1">
        <v>-2.1087888963860901E-5</v>
      </c>
      <c r="U17" s="2">
        <f t="shared" si="9"/>
        <v>15.345199950975067</v>
      </c>
      <c r="V17" s="1"/>
      <c r="W17" s="2"/>
      <c r="X17" s="1"/>
      <c r="Y17" s="2"/>
      <c r="Z17" s="1"/>
      <c r="AA17" s="2"/>
      <c r="AB17" s="1"/>
      <c r="AC17" s="2"/>
    </row>
    <row r="18" spans="1:39">
      <c r="A18">
        <f t="shared" si="10"/>
        <v>760</v>
      </c>
      <c r="B18" s="1">
        <v>-7.3386393719575099E-6</v>
      </c>
      <c r="C18" s="2">
        <f t="shared" si="0"/>
        <v>5.2699035066020983</v>
      </c>
      <c r="D18" s="1">
        <v>-3.3051480714209798E-5</v>
      </c>
      <c r="E18" s="2">
        <f t="shared" si="1"/>
        <v>23.734387982025275</v>
      </c>
      <c r="F18" s="1">
        <v>-5.9587711012863502E-6</v>
      </c>
      <c r="G18" s="2">
        <f t="shared" si="2"/>
        <v>4.279015104857506</v>
      </c>
      <c r="H18" s="1">
        <v>-2.65278827049538E-5</v>
      </c>
      <c r="I18" s="2">
        <f t="shared" si="3"/>
        <v>19.049768629286806</v>
      </c>
      <c r="J18" s="2">
        <v>-4.8985761341097501E-6</v>
      </c>
      <c r="K18" s="2">
        <f t="shared" si="4"/>
        <v>3.5176852599062136</v>
      </c>
      <c r="L18" s="1">
        <v>-2.1540676718632801E-5</v>
      </c>
      <c r="M18" s="2">
        <f t="shared" si="5"/>
        <v>15.468437951574334</v>
      </c>
      <c r="N18" s="1">
        <v>-4.0814584911815904E-6</v>
      </c>
      <c r="O18" s="2">
        <f t="shared" si="6"/>
        <v>2.9309101216935103</v>
      </c>
      <c r="P18" s="1">
        <v>-1.77340688076951E-5</v>
      </c>
      <c r="Q18" s="2">
        <f t="shared" si="7"/>
        <v>12.734899026802378</v>
      </c>
      <c r="R18" s="1">
        <v>-3.44312691450099E-6</v>
      </c>
      <c r="S18" s="2">
        <f t="shared" si="8"/>
        <v>2.4725219050469356</v>
      </c>
      <c r="T18" s="1">
        <v>-1.47933416405867E-5</v>
      </c>
      <c r="U18" s="2">
        <f t="shared" si="9"/>
        <v>10.623152199573989</v>
      </c>
      <c r="V18" s="1"/>
      <c r="W18" s="2"/>
      <c r="X18" s="1"/>
      <c r="Y18" s="2"/>
      <c r="Z18" s="1"/>
      <c r="AA18" s="2"/>
      <c r="AB18" s="1"/>
      <c r="AC18" s="2"/>
    </row>
    <row r="19" spans="1:39">
      <c r="A19">
        <f t="shared" si="10"/>
        <v>770</v>
      </c>
      <c r="B19" s="2">
        <v>-7.1437854758819799E-6</v>
      </c>
      <c r="C19" s="2">
        <f t="shared" si="0"/>
        <v>5.0633551245104877</v>
      </c>
      <c r="D19" s="2">
        <v>-2.5290093393001601E-5</v>
      </c>
      <c r="E19" s="2">
        <f t="shared" si="1"/>
        <v>17.925051698867531</v>
      </c>
      <c r="F19" s="2">
        <v>-5.7993980845669303E-6</v>
      </c>
      <c r="G19" s="2">
        <f t="shared" si="2"/>
        <v>4.110483455823946</v>
      </c>
      <c r="H19" s="2">
        <v>-2.0338321725470599E-5</v>
      </c>
      <c r="I19" s="2">
        <f t="shared" si="3"/>
        <v>14.41534686060691</v>
      </c>
      <c r="J19" s="1">
        <v>-4.76880943719155E-6</v>
      </c>
      <c r="K19" s="2">
        <f t="shared" si="4"/>
        <v>3.3800253077499769</v>
      </c>
      <c r="L19" s="1">
        <v>-1.6553981232736399E-5</v>
      </c>
      <c r="M19" s="2">
        <f t="shared" si="5"/>
        <v>11.733091088583945</v>
      </c>
      <c r="N19" s="1">
        <v>-3.9754996301078197E-6</v>
      </c>
      <c r="O19" s="2">
        <f t="shared" si="6"/>
        <v>2.8177450866287082</v>
      </c>
      <c r="P19" s="1">
        <v>-1.36625670231032E-5</v>
      </c>
      <c r="Q19" s="2">
        <f t="shared" si="7"/>
        <v>9.68372146447423</v>
      </c>
      <c r="R19" s="1">
        <v>-3.3562008275264901E-6</v>
      </c>
      <c r="S19" s="2">
        <f t="shared" si="8"/>
        <v>2.3787999676522396</v>
      </c>
      <c r="T19" s="1">
        <v>-1.14252197762917E-5</v>
      </c>
      <c r="U19" s="2">
        <f t="shared" si="9"/>
        <v>8.0979398525125692</v>
      </c>
      <c r="V19" s="1"/>
      <c r="W19" s="2"/>
      <c r="X19" s="1"/>
      <c r="Y19" s="2"/>
      <c r="Z19" s="1"/>
      <c r="AA19" s="2"/>
      <c r="AB19" s="1"/>
      <c r="AC19" s="2"/>
    </row>
    <row r="20" spans="1:39">
      <c r="A20">
        <f t="shared" si="10"/>
        <v>780</v>
      </c>
      <c r="B20" s="1">
        <v>-6.9877560596300199E-6</v>
      </c>
      <c r="C20" s="2">
        <f t="shared" si="0"/>
        <v>4.88926798254374</v>
      </c>
      <c r="D20" s="1">
        <v>-2.0614162867406301E-5</v>
      </c>
      <c r="E20" s="2">
        <f t="shared" si="1"/>
        <v>14.423538205180007</v>
      </c>
      <c r="F20" s="1">
        <v>-5.6741961413724303E-6</v>
      </c>
      <c r="G20" s="2">
        <f t="shared" si="2"/>
        <v>3.9701823137418377</v>
      </c>
      <c r="H20" s="1">
        <v>-1.6601322271284799E-5</v>
      </c>
      <c r="I20" s="2">
        <f t="shared" si="3"/>
        <v>11.61579092862333</v>
      </c>
      <c r="J20" s="1">
        <v>-4.6668129746895202E-6</v>
      </c>
      <c r="K20" s="2">
        <f t="shared" si="4"/>
        <v>3.2653256729281539</v>
      </c>
      <c r="L20" s="1">
        <v>-1.3535617346211E-5</v>
      </c>
      <c r="M20" s="2">
        <f t="shared" si="5"/>
        <v>9.4707456800226506</v>
      </c>
      <c r="N20" s="1">
        <v>-3.8910027259339404E-6</v>
      </c>
      <c r="O20" s="2">
        <f t="shared" si="6"/>
        <v>2.722498450941417</v>
      </c>
      <c r="P20" s="1">
        <v>-1.1191398338085E-5</v>
      </c>
      <c r="Q20" s="2">
        <f t="shared" si="7"/>
        <v>7.8305174232412105</v>
      </c>
      <c r="R20" s="1">
        <v>-3.2851085386441101E-6</v>
      </c>
      <c r="S20" s="2">
        <f t="shared" si="8"/>
        <v>2.2985599182499401</v>
      </c>
      <c r="T20" s="1">
        <v>-9.3752546042635305E-6</v>
      </c>
      <c r="U20" s="2">
        <f t="shared" si="9"/>
        <v>6.559778528852716</v>
      </c>
      <c r="V20" s="1"/>
      <c r="W20" s="2"/>
      <c r="X20" s="1"/>
      <c r="Y20" s="2"/>
      <c r="Z20" s="1"/>
      <c r="AA20" s="2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>
        <f t="shared" si="10"/>
        <v>790</v>
      </c>
      <c r="B21" s="2">
        <v>-6.92308883993616E-6</v>
      </c>
      <c r="C21" s="2">
        <f t="shared" si="0"/>
        <v>4.7827042092008689</v>
      </c>
      <c r="D21" s="2">
        <v>-1.7579042907645101E-5</v>
      </c>
      <c r="E21" s="2">
        <f t="shared" si="1"/>
        <v>12.144198124849167</v>
      </c>
      <c r="F21" s="2">
        <v>-5.6222689194211202E-6</v>
      </c>
      <c r="G21" s="2">
        <f t="shared" si="2"/>
        <v>3.8840537580653911</v>
      </c>
      <c r="H21" s="1">
        <v>-1.4176606356075601E-5</v>
      </c>
      <c r="I21" s="2">
        <f t="shared" si="3"/>
        <v>9.7936797373254283</v>
      </c>
      <c r="J21" s="1">
        <v>-4.6256144098404501E-6</v>
      </c>
      <c r="K21" s="2">
        <f t="shared" si="4"/>
        <v>3.1955310728452417</v>
      </c>
      <c r="L21" s="1">
        <v>-1.15760960517765E-5</v>
      </c>
      <c r="M21" s="2">
        <f t="shared" si="5"/>
        <v>7.9971591572780643</v>
      </c>
      <c r="N21" s="1">
        <v>-3.8584838801518404E-6</v>
      </c>
      <c r="O21" s="2">
        <f t="shared" si="6"/>
        <v>2.6655713253718814</v>
      </c>
      <c r="P21" s="1">
        <v>-9.5856139581919904E-6</v>
      </c>
      <c r="Q21" s="2">
        <f t="shared" si="7"/>
        <v>6.6220667227552417</v>
      </c>
      <c r="R21" s="1">
        <v>-3.2595051784300702E-6</v>
      </c>
      <c r="S21" s="2">
        <f t="shared" si="8"/>
        <v>2.2517765548323196</v>
      </c>
      <c r="T21" s="1">
        <v>-8.0415286295939797E-6</v>
      </c>
      <c r="U21" s="2">
        <f t="shared" si="9"/>
        <v>5.5553602899487098</v>
      </c>
      <c r="V21" s="1"/>
      <c r="W21" s="2"/>
      <c r="X21" s="1"/>
      <c r="Y21" s="2"/>
      <c r="Z21" s="1"/>
      <c r="AA21" s="2"/>
      <c r="AB21" s="1"/>
      <c r="AC21" s="2"/>
    </row>
    <row r="22" spans="1:39">
      <c r="A22">
        <f t="shared" si="10"/>
        <v>800</v>
      </c>
      <c r="B22" s="1">
        <v>-6.9376651353941303E-6</v>
      </c>
      <c r="C22" s="2">
        <f t="shared" si="0"/>
        <v>4.7328643326082647</v>
      </c>
      <c r="D22" s="1">
        <v>-1.5636268317208401E-5</v>
      </c>
      <c r="E22" s="2">
        <f t="shared" si="1"/>
        <v>10.667037853420997</v>
      </c>
      <c r="F22" s="1">
        <v>-5.6311290540018803E-6</v>
      </c>
      <c r="G22" s="2">
        <f t="shared" si="2"/>
        <v>3.8415474560787586</v>
      </c>
      <c r="H22" s="1">
        <v>-1.26173366466389E-5</v>
      </c>
      <c r="I22" s="2">
        <f t="shared" si="3"/>
        <v>8.6075273772918877</v>
      </c>
      <c r="J22" s="1">
        <v>-4.6330422575984599E-6</v>
      </c>
      <c r="K22" s="2">
        <f t="shared" si="4"/>
        <v>3.1606542005877474</v>
      </c>
      <c r="L22" s="1">
        <v>-1.0314753442172299E-5</v>
      </c>
      <c r="M22" s="2">
        <f t="shared" si="5"/>
        <v>7.0367087072345731</v>
      </c>
      <c r="N22" s="1">
        <v>-3.8660507231972496E-6</v>
      </c>
      <c r="O22" s="2">
        <f t="shared" si="6"/>
        <v>2.637413772326036</v>
      </c>
      <c r="P22" s="1">
        <v>-8.5534837420133001E-6</v>
      </c>
      <c r="Q22" s="2">
        <f t="shared" si="7"/>
        <v>5.8351732653668362</v>
      </c>
      <c r="R22" s="1">
        <v>-3.26774358001382E-6</v>
      </c>
      <c r="S22" s="2">
        <f t="shared" si="8"/>
        <v>2.2292495726054433</v>
      </c>
      <c r="T22" s="1">
        <v>-7.1871340748764401E-6</v>
      </c>
      <c r="U22" s="2">
        <f t="shared" si="9"/>
        <v>4.9030516539515503</v>
      </c>
      <c r="V22" s="1"/>
      <c r="W22" s="2"/>
      <c r="X22" s="1"/>
      <c r="Y22" s="2"/>
      <c r="Z22" s="1"/>
      <c r="AA22" s="2"/>
      <c r="AB22" s="1"/>
      <c r="AC22" s="2"/>
    </row>
    <row r="23" spans="1:39">
      <c r="A23">
        <f t="shared" si="10"/>
        <v>810</v>
      </c>
      <c r="B23" s="1">
        <v>-6.9252097247515896E-6</v>
      </c>
      <c r="C23" s="2">
        <f t="shared" si="0"/>
        <v>4.666041749035422</v>
      </c>
      <c r="D23" s="2">
        <v>-1.42162179850114E-5</v>
      </c>
      <c r="E23" s="2">
        <f t="shared" si="1"/>
        <v>9.5785498588392315</v>
      </c>
      <c r="F23" s="2">
        <v>-5.6234844111301999E-6</v>
      </c>
      <c r="G23" s="2">
        <f t="shared" si="2"/>
        <v>3.7889701655677448</v>
      </c>
      <c r="H23" s="1">
        <v>-1.14793515818015E-5</v>
      </c>
      <c r="I23" s="2">
        <f t="shared" si="3"/>
        <v>7.734514312411374</v>
      </c>
      <c r="J23" s="1">
        <v>-4.6275243555851097E-6</v>
      </c>
      <c r="K23" s="2">
        <f t="shared" si="4"/>
        <v>3.1179159471033748</v>
      </c>
      <c r="L23" s="1">
        <v>-9.3919153646482496E-6</v>
      </c>
      <c r="M23" s="2">
        <f t="shared" si="5"/>
        <v>6.3280493929630293</v>
      </c>
      <c r="N23" s="1">
        <v>-3.8613768390092796E-6</v>
      </c>
      <c r="O23" s="2">
        <f t="shared" si="6"/>
        <v>2.6017039563696414</v>
      </c>
      <c r="P23" s="1">
        <v>-7.79440381812606E-6</v>
      </c>
      <c r="Q23" s="2">
        <f t="shared" si="7"/>
        <v>5.2516840745240909</v>
      </c>
      <c r="R23" s="1">
        <v>-3.26319765444506E-6</v>
      </c>
      <c r="S23" s="2">
        <f t="shared" si="8"/>
        <v>2.1986650363200781</v>
      </c>
      <c r="T23" s="1">
        <v>-6.5540580380953904E-6</v>
      </c>
      <c r="U23" s="2">
        <f t="shared" si="9"/>
        <v>4.4159685622302582</v>
      </c>
      <c r="V23" s="1"/>
      <c r="W23" s="2"/>
      <c r="X23" s="1"/>
      <c r="Y23" s="2"/>
      <c r="Z23" s="1"/>
      <c r="AA23" s="2"/>
      <c r="AB23" s="1"/>
      <c r="AC23" s="2"/>
    </row>
    <row r="24" spans="1:39">
      <c r="A24">
        <f t="shared" si="10"/>
        <v>820</v>
      </c>
      <c r="B24" s="1">
        <v>-6.98782187964567E-6</v>
      </c>
      <c r="C24" s="2">
        <f t="shared" si="0"/>
        <v>4.6508109124801402</v>
      </c>
      <c r="D24" s="1">
        <v>-1.31922340353072E-5</v>
      </c>
      <c r="E24" s="2">
        <f t="shared" si="1"/>
        <v>8.7802160770746109</v>
      </c>
      <c r="F24" s="1">
        <v>-5.6751384749834896E-6</v>
      </c>
      <c r="G24" s="2">
        <f t="shared" si="2"/>
        <v>3.7771420628465515</v>
      </c>
      <c r="H24" s="1">
        <v>-1.06624385944787E-5</v>
      </c>
      <c r="I24" s="2">
        <f t="shared" si="3"/>
        <v>7.0964868056089383</v>
      </c>
      <c r="J24" s="1">
        <v>-4.6715620904830703E-6</v>
      </c>
      <c r="K24" s="2">
        <f t="shared" si="4"/>
        <v>3.1092023126738435</v>
      </c>
      <c r="L24" s="1">
        <v>-8.7316223097889306E-6</v>
      </c>
      <c r="M24" s="2">
        <f t="shared" si="5"/>
        <v>5.8114137740558096</v>
      </c>
      <c r="N24" s="1">
        <v>-3.8998683501181004E-6</v>
      </c>
      <c r="O24" s="2">
        <f t="shared" si="6"/>
        <v>2.5955942484448213</v>
      </c>
      <c r="P24" s="1">
        <v>-7.2527296759833097E-6</v>
      </c>
      <c r="Q24" s="2">
        <f t="shared" si="7"/>
        <v>4.8271228006805069</v>
      </c>
      <c r="R24" s="1">
        <v>-3.2975463963256401E-6</v>
      </c>
      <c r="S24" s="2">
        <f t="shared" si="8"/>
        <v>2.1947131779521691</v>
      </c>
      <c r="T24" s="1">
        <v>-6.1035374626888799E-6</v>
      </c>
      <c r="U24" s="2">
        <f t="shared" si="9"/>
        <v>4.0622670590516217</v>
      </c>
      <c r="V24" s="1"/>
      <c r="W24" s="2"/>
      <c r="X24" s="1"/>
      <c r="Y24" s="2"/>
      <c r="Z24" s="1"/>
      <c r="AA24" s="2"/>
      <c r="AB24" s="1"/>
      <c r="AC24" s="2"/>
    </row>
    <row r="25" spans="1:39">
      <c r="A25">
        <f t="shared" si="10"/>
        <v>830</v>
      </c>
      <c r="B25" s="1">
        <v>-7.0804439271589099E-6</v>
      </c>
      <c r="C25" s="2">
        <f t="shared" si="0"/>
        <v>4.6556798087858136</v>
      </c>
      <c r="D25" s="1">
        <v>-1.24790194853761E-5</v>
      </c>
      <c r="E25" s="2">
        <f t="shared" si="1"/>
        <v>8.2054627717139059</v>
      </c>
      <c r="F25" s="1">
        <v>-5.7454089567313104E-6</v>
      </c>
      <c r="G25" s="2">
        <f t="shared" si="2"/>
        <v>3.7778400264521714</v>
      </c>
      <c r="H25" s="1">
        <v>-1.00863707650982E-5</v>
      </c>
      <c r="I25" s="2">
        <f t="shared" si="3"/>
        <v>6.632198940926842</v>
      </c>
      <c r="J25" s="1">
        <v>-4.7294635799107598E-6</v>
      </c>
      <c r="K25" s="2">
        <f t="shared" si="4"/>
        <v>3.109814627712709</v>
      </c>
      <c r="L25" s="1">
        <v>-8.2657671052767893E-6</v>
      </c>
      <c r="M25" s="2">
        <f t="shared" si="5"/>
        <v>5.4350779996367624</v>
      </c>
      <c r="N25" s="1">
        <v>-3.9504134337087203E-6</v>
      </c>
      <c r="O25" s="2">
        <f t="shared" si="6"/>
        <v>2.5975574764637419</v>
      </c>
      <c r="P25" s="1">
        <v>-6.8734330387757999E-6</v>
      </c>
      <c r="Q25" s="2">
        <f t="shared" si="7"/>
        <v>4.5195617315636722</v>
      </c>
      <c r="R25" s="1">
        <v>-3.34347353699787E-6</v>
      </c>
      <c r="S25" s="2">
        <f t="shared" si="8"/>
        <v>2.1984698131288956</v>
      </c>
      <c r="T25" s="1">
        <v>-5.7925004601239298E-6</v>
      </c>
      <c r="U25" s="2">
        <f t="shared" si="9"/>
        <v>3.8088046049116406</v>
      </c>
      <c r="V25" s="1"/>
      <c r="W25" s="2"/>
      <c r="X25" s="1"/>
      <c r="Y25" s="2"/>
      <c r="Z25" s="1"/>
      <c r="AA25" s="2"/>
      <c r="AB25" s="1"/>
      <c r="AC25" s="2"/>
    </row>
    <row r="26" spans="1:39">
      <c r="A26">
        <f t="shared" si="10"/>
        <v>840</v>
      </c>
      <c r="B26" s="1">
        <v>-7.1058717660630704E-6</v>
      </c>
      <c r="C26" s="2">
        <f t="shared" si="0"/>
        <v>4.6167758415697824</v>
      </c>
      <c r="D26" s="1">
        <v>-1.1922468034622899E-5</v>
      </c>
      <c r="E26" s="2">
        <f t="shared" si="1"/>
        <v>7.7461800896853408</v>
      </c>
      <c r="F26" s="1">
        <v>-5.7657694966986703E-6</v>
      </c>
      <c r="G26" s="2">
        <f t="shared" si="2"/>
        <v>3.7460942438546838</v>
      </c>
      <c r="H26" s="1">
        <v>-9.6336383897690405E-6</v>
      </c>
      <c r="I26" s="2">
        <f t="shared" si="3"/>
        <v>6.2590981724043351</v>
      </c>
      <c r="J26" s="1">
        <v>-4.7454814923157196E-6</v>
      </c>
      <c r="K26" s="2">
        <f t="shared" si="4"/>
        <v>3.0832000677206248</v>
      </c>
      <c r="L26" s="1">
        <v>-7.89613774138493E-6</v>
      </c>
      <c r="M26" s="2">
        <f t="shared" si="5"/>
        <v>5.1302217611408789</v>
      </c>
      <c r="N26" s="1">
        <v>-3.9626451935002203E-6</v>
      </c>
      <c r="O26" s="2">
        <f t="shared" si="6"/>
        <v>2.5745813040755703</v>
      </c>
      <c r="P26" s="1">
        <v>-6.5686673271838198E-6</v>
      </c>
      <c r="Q26" s="2">
        <f t="shared" si="7"/>
        <v>4.2677472414131161</v>
      </c>
      <c r="R26" s="1">
        <v>-3.35241254604494E-6</v>
      </c>
      <c r="S26" s="2">
        <f t="shared" si="8"/>
        <v>2.178105342045987</v>
      </c>
      <c r="T26" s="1">
        <v>-5.5384626028739399E-6</v>
      </c>
      <c r="U26" s="2">
        <f t="shared" si="9"/>
        <v>3.5984100454085159</v>
      </c>
      <c r="V26" s="1"/>
      <c r="W26" s="2"/>
      <c r="X26" s="1"/>
      <c r="Y26" s="2"/>
      <c r="Z26" s="1"/>
      <c r="AA26" s="2"/>
      <c r="AB26" s="1"/>
      <c r="AC26" s="2"/>
    </row>
    <row r="27" spans="1:39">
      <c r="A27">
        <f t="shared" si="10"/>
        <v>850</v>
      </c>
      <c r="B27" s="1">
        <v>-7.1341738056086897E-6</v>
      </c>
      <c r="C27" s="2">
        <f t="shared" si="0"/>
        <v>4.5806326972942228</v>
      </c>
      <c r="D27" s="1">
        <v>-1.1396422180853999E-5</v>
      </c>
      <c r="E27" s="2">
        <f t="shared" si="1"/>
        <v>7.3172907608094091</v>
      </c>
      <c r="F27" s="1">
        <v>-5.7933015796716302E-6</v>
      </c>
      <c r="G27" s="2">
        <f t="shared" si="2"/>
        <v>3.7197000471543742</v>
      </c>
      <c r="H27" s="1">
        <v>-9.2179715348788593E-6</v>
      </c>
      <c r="I27" s="2">
        <f t="shared" si="3"/>
        <v>5.9185748715847186</v>
      </c>
      <c r="J27" s="1">
        <v>-4.7699480378866897E-6</v>
      </c>
      <c r="K27" s="2">
        <f t="shared" si="4"/>
        <v>3.0626363391316338</v>
      </c>
      <c r="L27" s="1">
        <v>-7.5598997907129304E-6</v>
      </c>
      <c r="M27" s="2">
        <f t="shared" si="5"/>
        <v>4.8539782059112353</v>
      </c>
      <c r="N27" s="1">
        <v>-3.9835971080609402E-6</v>
      </c>
      <c r="O27" s="2">
        <f t="shared" si="6"/>
        <v>2.5577446896072327</v>
      </c>
      <c r="P27" s="1">
        <v>-6.2907603741393899E-6</v>
      </c>
      <c r="Q27" s="2">
        <f t="shared" si="7"/>
        <v>4.0391029775545491</v>
      </c>
      <c r="R27" s="1">
        <v>-3.3700075600064301E-6</v>
      </c>
      <c r="S27" s="2">
        <f t="shared" si="8"/>
        <v>2.163777788446676</v>
      </c>
      <c r="T27" s="1">
        <v>-5.3043845132827502E-6</v>
      </c>
      <c r="U27" s="2">
        <f t="shared" si="9"/>
        <v>3.4057814965850839</v>
      </c>
      <c r="V27" s="1"/>
      <c r="W27" s="2"/>
      <c r="X27" s="1"/>
      <c r="Y27" s="2"/>
      <c r="Z27" s="1"/>
      <c r="AA27" s="2"/>
      <c r="AB27" s="1"/>
      <c r="AC27" s="2"/>
    </row>
    <row r="28" spans="1:39">
      <c r="C28" s="2"/>
      <c r="E28" s="2"/>
      <c r="F28" s="1"/>
      <c r="G28" s="2"/>
      <c r="I28" s="2"/>
      <c r="K28" s="2"/>
      <c r="M28" s="2"/>
      <c r="O28" s="2"/>
      <c r="Q28" s="2"/>
      <c r="S28" s="2"/>
      <c r="U28" s="2"/>
    </row>
    <row r="29" spans="1:39">
      <c r="F29" s="1"/>
    </row>
    <row r="30" spans="1:39">
      <c r="F30" s="1"/>
    </row>
    <row r="31" spans="1:39">
      <c r="F31" s="1"/>
    </row>
    <row r="32" spans="1:39">
      <c r="F32" s="1"/>
    </row>
    <row r="33" spans="6:6">
      <c r="F33" s="1"/>
    </row>
    <row r="34" spans="6:6">
      <c r="F34" s="1"/>
    </row>
    <row r="35" spans="6:6">
      <c r="F35" s="1"/>
    </row>
    <row r="36" spans="6:6">
      <c r="F36" s="1"/>
    </row>
    <row r="37" spans="6:6">
      <c r="F37" s="1"/>
    </row>
    <row r="38" spans="6:6">
      <c r="F38" s="1"/>
    </row>
    <row r="39" spans="6:6">
      <c r="F3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67B5-1DF5-499F-B56B-7D4A3DAC9E49}">
  <dimension ref="A1:BF39"/>
  <sheetViews>
    <sheetView workbookViewId="0">
      <selection activeCell="C2" sqref="C2"/>
    </sheetView>
  </sheetViews>
  <sheetFormatPr defaultRowHeight="15"/>
  <cols>
    <col min="2" max="2" width="16.42578125" customWidth="1"/>
    <col min="3" max="3" width="15.5703125" customWidth="1"/>
    <col min="14" max="14" width="14" customWidth="1"/>
    <col min="18" max="18" width="19.28515625" customWidth="1"/>
    <col min="21" max="21" width="16.7109375" customWidth="1"/>
  </cols>
  <sheetData>
    <row r="1" spans="1:58">
      <c r="A1" t="s">
        <v>0</v>
      </c>
      <c r="B1" t="s">
        <v>121</v>
      </c>
      <c r="C1" s="2" t="s">
        <v>122</v>
      </c>
      <c r="D1" t="s">
        <v>123</v>
      </c>
      <c r="E1" s="2" t="s">
        <v>124</v>
      </c>
      <c r="F1" t="s">
        <v>125</v>
      </c>
      <c r="G1" s="2" t="s">
        <v>126</v>
      </c>
      <c r="H1" t="s">
        <v>127</v>
      </c>
      <c r="I1" s="2" t="s">
        <v>128</v>
      </c>
      <c r="J1" t="s">
        <v>129</v>
      </c>
      <c r="K1" s="2" t="s">
        <v>130</v>
      </c>
      <c r="L1" t="s">
        <v>131</v>
      </c>
      <c r="M1" s="2" t="s">
        <v>132</v>
      </c>
      <c r="N1" t="s">
        <v>133</v>
      </c>
      <c r="O1" s="2" t="s">
        <v>134</v>
      </c>
      <c r="P1" t="s">
        <v>135</v>
      </c>
      <c r="Q1" s="2" t="s">
        <v>136</v>
      </c>
      <c r="R1" t="s">
        <v>137</v>
      </c>
      <c r="S1" s="2" t="s">
        <v>138</v>
      </c>
      <c r="T1" t="s">
        <v>139</v>
      </c>
      <c r="U1" s="2" t="s">
        <v>140</v>
      </c>
      <c r="W1" s="2"/>
      <c r="Y1" s="2"/>
      <c r="AA1" s="2"/>
      <c r="AC1" s="2"/>
    </row>
    <row r="2" spans="1:58">
      <c r="A2">
        <v>600</v>
      </c>
      <c r="B2" s="1">
        <v>-4.12089241694947E-6</v>
      </c>
      <c r="C2" s="2">
        <f>-8.686*2*3.1416*(B2)/((A2)*10^-7)</f>
        <v>3.7483551710010108</v>
      </c>
      <c r="D2" s="2">
        <v>-2.1951620187544398E-6</v>
      </c>
      <c r="E2" s="2">
        <f>-8.686*2*3.1416*(D2)/((A2)*10^-7)</f>
        <v>1.9967148063220397</v>
      </c>
      <c r="F2" s="2">
        <v>-3.70994080678024E-6</v>
      </c>
      <c r="G2" s="2">
        <f>-8.686*2*3.1416*(F2)/((A2)*10^-7)</f>
        <v>3.3745544411704285</v>
      </c>
      <c r="H2" s="2">
        <v>-1.9749044021138599E-6</v>
      </c>
      <c r="I2" s="2">
        <f>-8.686*2*3.1416*(H2)/((A2)*10^-7)</f>
        <v>1.7963689363616107</v>
      </c>
      <c r="J2" s="2">
        <v>-3.33796115235329E-6</v>
      </c>
      <c r="K2" s="2">
        <f>-8.686*2*3.1416*(J2)/((A2)*10^-7)</f>
        <v>3.0362025212213561</v>
      </c>
      <c r="L2" s="1">
        <v>-1.776E-6</v>
      </c>
      <c r="M2" s="2">
        <f>-8.686*2*3.1416*(L2)/((A2)*10^-7)</f>
        <v>1.6154459059200001</v>
      </c>
      <c r="N2" s="1">
        <v>-2.9922744994033199E-6</v>
      </c>
      <c r="O2" s="2">
        <f>-8.686*2*3.1416*(N2)/((A2)*10^-7)</f>
        <v>2.7217666607263009</v>
      </c>
      <c r="P2" s="2">
        <v>-1.5920691128987E-6</v>
      </c>
      <c r="Q2" s="2">
        <f>-8.686*2*3.1416*(P2)/((A2)*10^-7)</f>
        <v>1.4481427535889027</v>
      </c>
      <c r="R2" s="1">
        <v>-2.66705160141552E-6</v>
      </c>
      <c r="S2" s="2">
        <f>-8.686*2*3.1416*(R2)/((A2)*10^-7)</f>
        <v>2.4259445891802258</v>
      </c>
      <c r="T2" s="2">
        <v>-1.4205586551026799E-6</v>
      </c>
      <c r="U2" s="2">
        <f>-8.686*2*3.1416*(T2)/((A2)*10^-7)</f>
        <v>1.2921371979193952</v>
      </c>
      <c r="V2" s="1"/>
      <c r="W2" s="2"/>
      <c r="X2" s="2"/>
      <c r="Y2" s="2"/>
      <c r="Z2" s="1"/>
      <c r="AA2" s="2"/>
      <c r="AB2" s="1"/>
      <c r="AC2" s="2"/>
    </row>
    <row r="3" spans="1:58">
      <c r="A3">
        <f>A2+10</f>
        <v>610</v>
      </c>
      <c r="B3" s="2">
        <v>-5.28830500497593E-6</v>
      </c>
      <c r="C3" s="2">
        <f t="shared" ref="C3:C27" si="0">-8.686*2*3.1416*(B3)/((A3)*10^-7)</f>
        <v>4.7313749831328149</v>
      </c>
      <c r="D3" s="2">
        <v>-2.2649655196699199E-6</v>
      </c>
      <c r="E3" s="2">
        <f t="shared" ref="E3:E27" si="1">-8.686*2*3.1416*(D3)/((A3)*10^-7)</f>
        <v>2.0264340251444048</v>
      </c>
      <c r="F3" s="2">
        <v>-4.76598746098939E-6</v>
      </c>
      <c r="G3" s="2">
        <f t="shared" ref="G3:G27" si="2">-8.686*2*3.1416*(F3)/((A3)*10^-7)</f>
        <v>4.2640645389462586</v>
      </c>
      <c r="H3" s="2">
        <v>-2.0390665554942802E-6</v>
      </c>
      <c r="I3" s="2">
        <f t="shared" ref="I3:I27" si="3">-8.686*2*3.1416*(H3)/((A3)*10^-7)</f>
        <v>1.8243252763467166</v>
      </c>
      <c r="J3" s="2">
        <v>-4.2942595553244099E-6</v>
      </c>
      <c r="K3" s="2">
        <f t="shared" ref="K3:K27" si="4">-8.686*2*3.1416*(J3)/((A3)*10^-7)</f>
        <v>3.8420159601277457</v>
      </c>
      <c r="L3" s="1">
        <v>-1.8359000000000001E-6</v>
      </c>
      <c r="M3" s="2">
        <f t="shared" ref="M3:M27" si="5">-8.686*2*3.1416*(L3)/((A3)*10^-7)</f>
        <v>1.6425549062242624</v>
      </c>
      <c r="N3" s="2">
        <v>-3.8561172299376197E-6</v>
      </c>
      <c r="O3" s="2">
        <f t="shared" ref="O3:O27" si="6">-8.686*2*3.1416*(N3)/((A3)*10^-7)</f>
        <v>3.4500159458630368</v>
      </c>
      <c r="P3" s="2">
        <v>-1.6486117235545701E-6</v>
      </c>
      <c r="Q3" s="2">
        <f t="shared" ref="Q3:Q27" si="7">-8.686*2*3.1416*(P3)/((A3)*10^-7)</f>
        <v>1.4749906176716576</v>
      </c>
      <c r="R3" s="2">
        <v>-3.4441219602931101E-6</v>
      </c>
      <c r="S3" s="2">
        <f t="shared" ref="S3:S27" si="8">-8.686*2*3.1416*(R3)/((A3)*10^-7)</f>
        <v>3.0814093488284611</v>
      </c>
      <c r="T3" s="1">
        <v>-1.4748458681662899E-6</v>
      </c>
      <c r="U3" s="2">
        <f t="shared" ref="U3:U27" si="9">-8.686*2*3.1416*(T3)/((A3)*10^-7)</f>
        <v>1.3195246563980181</v>
      </c>
      <c r="V3" s="2"/>
      <c r="W3" s="2"/>
      <c r="X3" s="1"/>
      <c r="Y3" s="2"/>
      <c r="Z3" s="1"/>
      <c r="AA3" s="2"/>
      <c r="AB3" s="1"/>
      <c r="AC3" s="2"/>
    </row>
    <row r="4" spans="1:58">
      <c r="A4">
        <f t="shared" ref="A4:A27" si="10">A3+10</f>
        <v>620</v>
      </c>
      <c r="B4" s="2">
        <v>-7.4264842563209201E-6</v>
      </c>
      <c r="C4" s="2">
        <f t="shared" si="0"/>
        <v>6.5372077088344405</v>
      </c>
      <c r="D4" s="2">
        <v>-2.3950339109480801E-6</v>
      </c>
      <c r="E4" s="2">
        <f t="shared" si="1"/>
        <v>2.1082430939301662</v>
      </c>
      <c r="F4" s="2">
        <v>-6.7021374343835499E-6</v>
      </c>
      <c r="G4" s="2">
        <f t="shared" si="2"/>
        <v>5.8995970353574965</v>
      </c>
      <c r="H4" s="1">
        <v>-2.1580431127439902E-6</v>
      </c>
      <c r="I4" s="2">
        <f t="shared" si="3"/>
        <v>1.8996305096344439</v>
      </c>
      <c r="J4" s="2">
        <v>-6.0487139678203096E-6</v>
      </c>
      <c r="K4" s="2">
        <f t="shared" si="4"/>
        <v>5.3244170746493227</v>
      </c>
      <c r="L4" s="1">
        <v>-1.9454E-6</v>
      </c>
      <c r="M4" s="2">
        <f t="shared" si="5"/>
        <v>1.7124501228077418</v>
      </c>
      <c r="N4" s="1">
        <v>-5.4419602138337499E-6</v>
      </c>
      <c r="O4" s="2">
        <f t="shared" si="6"/>
        <v>4.7903184108638071</v>
      </c>
      <c r="P4" s="1">
        <v>-1.7505513573989699E-6</v>
      </c>
      <c r="Q4" s="2">
        <f t="shared" si="7"/>
        <v>1.5409334260096255</v>
      </c>
      <c r="R4" s="1">
        <v>-4.87089774574401E-6</v>
      </c>
      <c r="S4" s="2">
        <f t="shared" si="8"/>
        <v>4.2876372174788129</v>
      </c>
      <c r="T4" s="2">
        <v>-1.5705908361499101E-6</v>
      </c>
      <c r="U4" s="2">
        <f t="shared" si="9"/>
        <v>1.3825220881287281</v>
      </c>
      <c r="V4" s="1"/>
      <c r="W4" s="2"/>
      <c r="X4" s="2"/>
      <c r="Y4" s="2"/>
      <c r="Z4" s="1"/>
      <c r="AA4" s="2"/>
      <c r="AB4" s="1"/>
      <c r="AC4" s="2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>
      <c r="A5">
        <f t="shared" si="10"/>
        <v>630</v>
      </c>
      <c r="B5" s="2">
        <v>-1.1385779321068601E-5</v>
      </c>
      <c r="C5" s="2">
        <f t="shared" si="0"/>
        <v>9.8633154171647721</v>
      </c>
      <c r="D5" s="2">
        <v>-2.62244257312055E-6</v>
      </c>
      <c r="E5" s="2">
        <f t="shared" si="1"/>
        <v>2.2717793426951434</v>
      </c>
      <c r="F5" s="2">
        <v>-1.0291329569120601E-5</v>
      </c>
      <c r="G5" s="2">
        <f t="shared" si="2"/>
        <v>8.9152114001015175</v>
      </c>
      <c r="H5" s="2">
        <v>-2.3652842534390502E-6</v>
      </c>
      <c r="I5" s="2">
        <f t="shared" si="3"/>
        <v>2.0490072734637264</v>
      </c>
      <c r="J5" s="1">
        <v>-9.3049093800824394E-6</v>
      </c>
      <c r="K5" s="2">
        <f t="shared" si="4"/>
        <v>8.0606916361061671</v>
      </c>
      <c r="L5" s="1">
        <v>-2.1353000000000001E-6</v>
      </c>
      <c r="M5" s="2">
        <f t="shared" si="5"/>
        <v>1.8497756557866667</v>
      </c>
      <c r="N5" s="2">
        <v>-8.3881242116095004E-6</v>
      </c>
      <c r="O5" s="2">
        <f t="shared" si="6"/>
        <v>7.2664955576968016</v>
      </c>
      <c r="P5" s="2">
        <v>-1.9248962254507801E-6</v>
      </c>
      <c r="Q5" s="2">
        <f t="shared" si="7"/>
        <v>1.6675062884627434</v>
      </c>
      <c r="R5" s="2">
        <v>-7.5227432883764099E-6</v>
      </c>
      <c r="S5" s="2">
        <f t="shared" si="8"/>
        <v>6.5168301407629929</v>
      </c>
      <c r="T5" s="1">
        <v>-1.7329827810583501E-6</v>
      </c>
      <c r="U5" s="2">
        <f t="shared" si="9"/>
        <v>1.5012547933776099</v>
      </c>
      <c r="V5" s="2"/>
      <c r="W5" s="2"/>
      <c r="X5" s="1"/>
      <c r="Y5" s="2"/>
      <c r="Z5" s="1"/>
      <c r="AA5" s="2"/>
      <c r="AB5" s="1"/>
      <c r="AC5" s="2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8">
      <c r="A6">
        <f t="shared" si="10"/>
        <v>640</v>
      </c>
      <c r="B6" s="2">
        <v>-1.99238518944341E-5</v>
      </c>
      <c r="C6" s="2">
        <f t="shared" si="0"/>
        <v>16.990025851467482</v>
      </c>
      <c r="D6" s="2">
        <v>-2.9534404838985499E-6</v>
      </c>
      <c r="E6" s="2">
        <f t="shared" si="1"/>
        <v>2.5185406134355448</v>
      </c>
      <c r="F6" s="1">
        <v>-1.80416164908531E-5</v>
      </c>
      <c r="G6" s="2">
        <f t="shared" si="2"/>
        <v>15.384953281422826</v>
      </c>
      <c r="H6" s="1">
        <v>-2.6667712921749302E-6</v>
      </c>
      <c r="I6" s="2">
        <f t="shared" si="3"/>
        <v>2.2740840191981522</v>
      </c>
      <c r="J6" s="2">
        <v>-1.6346529824087702E-5</v>
      </c>
      <c r="K6" s="2">
        <f t="shared" si="4"/>
        <v>13.93947143175763</v>
      </c>
      <c r="L6" s="1">
        <v>-2.4115000000000001E-6</v>
      </c>
      <c r="M6" s="2">
        <f t="shared" si="5"/>
        <v>2.0564019225750001</v>
      </c>
      <c r="N6" s="1">
        <v>-1.47652875107944E-5</v>
      </c>
      <c r="O6" s="2">
        <f t="shared" si="6"/>
        <v>12.591070132519279</v>
      </c>
      <c r="P6" s="1">
        <v>-2.1795475519015E-6</v>
      </c>
      <c r="Q6" s="2">
        <f t="shared" si="7"/>
        <v>1.8586049247662779</v>
      </c>
      <c r="R6" s="1">
        <v>-1.3263201994449301E-5</v>
      </c>
      <c r="S6" s="2">
        <f t="shared" si="8"/>
        <v>11.310169637522753</v>
      </c>
      <c r="T6" s="2">
        <v>-1.96636098015121E-6</v>
      </c>
      <c r="U6" s="2">
        <f t="shared" si="9"/>
        <v>1.6768104914200332</v>
      </c>
      <c r="V6" s="1"/>
      <c r="W6" s="2"/>
      <c r="X6" s="1"/>
      <c r="Y6" s="2"/>
      <c r="Z6" s="1"/>
      <c r="AA6" s="2"/>
      <c r="AB6" s="1"/>
      <c r="AC6" s="2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8">
      <c r="A7">
        <f t="shared" si="10"/>
        <v>650</v>
      </c>
      <c r="B7" s="2">
        <v>-4.0153543052809901E-5</v>
      </c>
      <c r="C7" s="2">
        <f t="shared" si="0"/>
        <v>33.714073145968925</v>
      </c>
      <c r="D7" s="1">
        <v>-3.4497217777394499E-6</v>
      </c>
      <c r="E7" s="2">
        <f t="shared" si="1"/>
        <v>2.896485926409698</v>
      </c>
      <c r="F7" s="2">
        <v>-3.6394757979033201E-5</v>
      </c>
      <c r="G7" s="2">
        <f t="shared" si="2"/>
        <v>30.558088759968001</v>
      </c>
      <c r="H7" s="2">
        <v>-3.1194874961723698E-6</v>
      </c>
      <c r="I7" s="2">
        <f t="shared" si="3"/>
        <v>2.6192116966009809</v>
      </c>
      <c r="J7" s="1">
        <v>-3.2991770318701401E-5</v>
      </c>
      <c r="K7" s="2">
        <f t="shared" si="4"/>
        <v>27.700842146777106</v>
      </c>
      <c r="L7" s="1">
        <v>-2.8256000000000001E-6</v>
      </c>
      <c r="M7" s="2">
        <f t="shared" si="5"/>
        <v>2.3724552763864617</v>
      </c>
      <c r="N7" s="2">
        <v>-2.97896260267053E-5</v>
      </c>
      <c r="O7" s="2">
        <f t="shared" si="6"/>
        <v>25.012229419817544</v>
      </c>
      <c r="P7" s="2">
        <v>-2.5592948965406602E-6</v>
      </c>
      <c r="Q7" s="2">
        <f t="shared" si="7"/>
        <v>2.1488578288246152</v>
      </c>
      <c r="R7" s="2">
        <v>-2.6708224695400099E-5</v>
      </c>
      <c r="S7" s="2">
        <f t="shared" si="8"/>
        <v>22.424995965995599</v>
      </c>
      <c r="T7" s="1">
        <v>-2.3212575972616802E-6</v>
      </c>
      <c r="U7" s="2">
        <f t="shared" si="9"/>
        <v>1.9489948451570052</v>
      </c>
      <c r="V7" s="1"/>
      <c r="W7" s="2"/>
      <c r="X7" s="1"/>
      <c r="Y7" s="2"/>
      <c r="Z7" s="1"/>
      <c r="AA7" s="2"/>
      <c r="AB7" s="1"/>
      <c r="AC7" s="2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>
      <c r="A8">
        <f t="shared" si="10"/>
        <v>660</v>
      </c>
      <c r="B8" s="1">
        <v>-7.0824896023755706E-5</v>
      </c>
      <c r="C8" s="2">
        <f t="shared" si="0"/>
        <v>58.565616461294972</v>
      </c>
      <c r="D8" s="2">
        <v>-4.2396892242004801E-6</v>
      </c>
      <c r="E8" s="2">
        <f t="shared" si="1"/>
        <v>3.5058295452537918</v>
      </c>
      <c r="F8" s="1">
        <v>-6.3558640158261406E-5</v>
      </c>
      <c r="G8" s="2">
        <f t="shared" si="2"/>
        <v>52.557097169075504</v>
      </c>
      <c r="H8" s="2">
        <v>-3.8403241014997303E-6</v>
      </c>
      <c r="I8" s="2">
        <f t="shared" si="3"/>
        <v>3.1755916498636583</v>
      </c>
      <c r="J8" s="2">
        <v>-5.6887029604581203E-5</v>
      </c>
      <c r="K8" s="2">
        <f t="shared" si="4"/>
        <v>47.040294366641355</v>
      </c>
      <c r="L8" s="1">
        <v>-3.4873000000000001E-6</v>
      </c>
      <c r="M8" s="2">
        <f t="shared" si="5"/>
        <v>2.8836734785600004</v>
      </c>
      <c r="N8" s="1">
        <v>-5.0573677824913302E-5</v>
      </c>
      <c r="O8" s="2">
        <f t="shared" si="6"/>
        <v>41.819738323901156</v>
      </c>
      <c r="P8" s="1">
        <v>-3.1673514661599502E-6</v>
      </c>
      <c r="Q8" s="2">
        <f t="shared" si="7"/>
        <v>2.6191057322982192</v>
      </c>
      <c r="R8" s="1">
        <v>-4.4500180715820202E-5</v>
      </c>
      <c r="S8" s="2">
        <f t="shared" si="8"/>
        <v>36.797519835212881</v>
      </c>
      <c r="T8" s="1">
        <v>-2.8738636886240398E-6</v>
      </c>
      <c r="U8" s="2">
        <f t="shared" si="9"/>
        <v>2.3764185759417766</v>
      </c>
      <c r="V8" s="1"/>
      <c r="W8" s="2"/>
      <c r="X8" s="1"/>
      <c r="Y8" s="2"/>
      <c r="Z8" s="1"/>
      <c r="AA8" s="2"/>
      <c r="AB8" s="1"/>
      <c r="AC8" s="2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8">
      <c r="A9">
        <f t="shared" si="10"/>
        <v>670</v>
      </c>
      <c r="B9" s="2">
        <v>-5.3872811066898602E-5</v>
      </c>
      <c r="C9" s="2">
        <f t="shared" si="0"/>
        <v>43.882922588958756</v>
      </c>
      <c r="D9" s="1">
        <v>-5.9086073550656003E-6</v>
      </c>
      <c r="E9" s="2">
        <f t="shared" si="1"/>
        <v>4.8129465315800344</v>
      </c>
      <c r="F9" s="2">
        <v>-4.7825492902352997E-5</v>
      </c>
      <c r="G9" s="2">
        <f t="shared" si="2"/>
        <v>38.956987045034367</v>
      </c>
      <c r="H9" s="2">
        <v>-5.3601103126013399E-6</v>
      </c>
      <c r="I9" s="2">
        <f t="shared" si="3"/>
        <v>4.3661598728173692</v>
      </c>
      <c r="J9" s="1">
        <v>-4.2309751126870701E-5</v>
      </c>
      <c r="K9" s="2">
        <f t="shared" si="4"/>
        <v>34.464055182733652</v>
      </c>
      <c r="L9" s="1">
        <v>-4.8740999999999996E-6</v>
      </c>
      <c r="M9" s="2">
        <f t="shared" si="5"/>
        <v>3.9702727360047754</v>
      </c>
      <c r="N9" s="2">
        <v>-3.7177886561693098E-5</v>
      </c>
      <c r="O9" s="2">
        <f t="shared" si="6"/>
        <v>30.283816375980887</v>
      </c>
      <c r="P9" s="2">
        <v>-4.43577056672571E-6</v>
      </c>
      <c r="Q9" s="2">
        <f t="shared" si="7"/>
        <v>3.6132247890366509</v>
      </c>
      <c r="R9" s="2">
        <v>-3.2341397345629599E-5</v>
      </c>
      <c r="S9" s="2">
        <f t="shared" si="8"/>
        <v>26.34418007953272</v>
      </c>
      <c r="T9" s="1">
        <v>-4.0436912514585401E-6</v>
      </c>
      <c r="U9" s="2">
        <f t="shared" si="9"/>
        <v>3.2938505833870613</v>
      </c>
      <c r="V9" s="1"/>
      <c r="W9" s="2"/>
      <c r="X9" s="1"/>
      <c r="Y9" s="2"/>
      <c r="Z9" s="1"/>
      <c r="AA9" s="2"/>
      <c r="AB9" s="1"/>
      <c r="AC9" s="2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8">
      <c r="A10">
        <f t="shared" si="10"/>
        <v>680</v>
      </c>
      <c r="B10" s="1">
        <v>-3.1034403144237497E-5</v>
      </c>
      <c r="C10" s="2">
        <f t="shared" si="0"/>
        <v>24.907789895682253</v>
      </c>
      <c r="D10" s="2">
        <v>-8.8556245744695298E-6</v>
      </c>
      <c r="E10" s="2">
        <f t="shared" si="1"/>
        <v>7.107403846975032</v>
      </c>
      <c r="F10" s="2">
        <v>-2.75741887160226E-5</v>
      </c>
      <c r="G10" s="2">
        <f t="shared" si="2"/>
        <v>22.1306688545132</v>
      </c>
      <c r="H10" s="2">
        <v>-8.0506479090271793E-6</v>
      </c>
      <c r="I10" s="2">
        <f t="shared" si="3"/>
        <v>6.4613405229736509</v>
      </c>
      <c r="J10" s="2">
        <v>-2.44298692024466E-5</v>
      </c>
      <c r="K10" s="2">
        <f t="shared" si="4"/>
        <v>19.607080775662489</v>
      </c>
      <c r="L10" s="1">
        <v>-7.3390000000000004E-6</v>
      </c>
      <c r="M10" s="2">
        <f t="shared" si="5"/>
        <v>5.8901815896</v>
      </c>
      <c r="N10" s="1">
        <v>-2.1513928873297702E-5</v>
      </c>
      <c r="O10" s="2">
        <f t="shared" si="6"/>
        <v>17.266786724276056</v>
      </c>
      <c r="P10" s="1">
        <v>-6.6911115696172703E-6</v>
      </c>
      <c r="Q10" s="2">
        <f t="shared" si="7"/>
        <v>5.3701951466574744</v>
      </c>
      <c r="R10" s="1">
        <v>-1.8777264146949099E-5</v>
      </c>
      <c r="S10" s="2">
        <f t="shared" si="8"/>
        <v>15.070376833548947</v>
      </c>
      <c r="T10" s="1">
        <v>-6.0930788770368498E-6</v>
      </c>
      <c r="U10" s="2">
        <f t="shared" si="9"/>
        <v>4.8902222408370477</v>
      </c>
      <c r="V10" s="1"/>
      <c r="W10" s="2"/>
      <c r="X10" s="1"/>
      <c r="Y10" s="2"/>
      <c r="Z10" s="1"/>
      <c r="AA10" s="2"/>
      <c r="AB10" s="1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8">
      <c r="A11">
        <f t="shared" si="10"/>
        <v>690</v>
      </c>
      <c r="B11" s="2">
        <v>-1.93333420857208E-5</v>
      </c>
      <c r="C11" s="2">
        <f t="shared" si="0"/>
        <v>15.291798041582696</v>
      </c>
      <c r="D11" s="2">
        <v>-1.4576370574801199E-5</v>
      </c>
      <c r="E11" s="2">
        <f t="shared" si="1"/>
        <v>11.529249005207284</v>
      </c>
      <c r="F11" s="2">
        <v>-1.7223491364172099E-5</v>
      </c>
      <c r="G11" s="2">
        <f t="shared" si="2"/>
        <v>13.623001669555569</v>
      </c>
      <c r="H11" s="2">
        <v>-1.3285042830868E-5</v>
      </c>
      <c r="I11" s="2">
        <f t="shared" si="3"/>
        <v>10.507867240059518</v>
      </c>
      <c r="J11" s="1">
        <v>-1.5309286941578701E-5</v>
      </c>
      <c r="K11" s="2">
        <f t="shared" si="4"/>
        <v>12.108952659776651</v>
      </c>
      <c r="L11" s="1">
        <v>-1.2143999999999999E-5</v>
      </c>
      <c r="M11" s="2">
        <f t="shared" si="5"/>
        <v>9.6053540351999995</v>
      </c>
      <c r="N11" s="2">
        <v>-1.3536131164211E-5</v>
      </c>
      <c r="O11" s="2">
        <f t="shared" si="6"/>
        <v>10.706466740707395</v>
      </c>
      <c r="P11" s="2">
        <v>-1.1107230653981401E-5</v>
      </c>
      <c r="Q11" s="2">
        <f t="shared" si="7"/>
        <v>8.7853164346275836</v>
      </c>
      <c r="R11" s="1">
        <v>-1.1875137183542801E-5</v>
      </c>
      <c r="S11" s="2">
        <f t="shared" si="8"/>
        <v>9.3926957233610349</v>
      </c>
      <c r="T11" s="1">
        <v>-1.0156727123545699E-5</v>
      </c>
      <c r="U11" s="2">
        <f t="shared" si="9"/>
        <v>8.0335111874650007</v>
      </c>
      <c r="V11" s="1"/>
      <c r="W11" s="2"/>
      <c r="X11" s="1"/>
      <c r="Y11" s="2"/>
      <c r="Z11" s="1"/>
      <c r="AA11" s="2"/>
      <c r="AB11" s="1"/>
      <c r="AC11" s="2"/>
    </row>
    <row r="12" spans="1:58">
      <c r="A12">
        <f t="shared" si="10"/>
        <v>700</v>
      </c>
      <c r="B12" s="2">
        <v>-1.3418368969972599E-5</v>
      </c>
      <c r="C12" s="2">
        <f t="shared" si="0"/>
        <v>10.461703289896816</v>
      </c>
      <c r="D12" s="2">
        <v>-2.7085086498357599E-5</v>
      </c>
      <c r="E12" s="2">
        <f t="shared" si="1"/>
        <v>21.117032864508136</v>
      </c>
      <c r="F12" s="2">
        <v>-1.1980956721279301E-5</v>
      </c>
      <c r="G12" s="2">
        <f t="shared" si="2"/>
        <v>9.3410171256734333</v>
      </c>
      <c r="H12" s="1">
        <v>-2.47780245084737E-5</v>
      </c>
      <c r="I12" s="2">
        <f t="shared" si="3"/>
        <v>19.318319618242889</v>
      </c>
      <c r="J12" s="2">
        <v>-1.06802640005373E-5</v>
      </c>
      <c r="K12" s="2">
        <f t="shared" si="4"/>
        <v>8.3269250742339498</v>
      </c>
      <c r="L12" s="1">
        <v>-2.2739999999999999E-5</v>
      </c>
      <c r="M12" s="2">
        <f t="shared" si="5"/>
        <v>17.729362886400001</v>
      </c>
      <c r="N12" s="1">
        <v>-9.4836555602261808E-6</v>
      </c>
      <c r="O12" s="2">
        <f t="shared" si="6"/>
        <v>7.3939828899241444</v>
      </c>
      <c r="P12" s="1">
        <v>-2.0867474100192599E-5</v>
      </c>
      <c r="Q12" s="2">
        <f t="shared" si="7"/>
        <v>16.269438031876337</v>
      </c>
      <c r="R12" s="1">
        <v>-8.3691854220893994E-6</v>
      </c>
      <c r="S12" s="2">
        <f t="shared" si="8"/>
        <v>6.5250802731658624</v>
      </c>
      <c r="T12" s="1">
        <v>-1.9106342163937401E-5</v>
      </c>
      <c r="U12" s="2">
        <f t="shared" si="9"/>
        <v>14.896362078107794</v>
      </c>
      <c r="V12" s="1"/>
      <c r="W12" s="2"/>
      <c r="X12" s="1"/>
      <c r="Y12" s="2"/>
      <c r="Z12" s="1"/>
      <c r="AA12" s="2"/>
      <c r="AB12" s="1"/>
      <c r="AC12" s="2"/>
    </row>
    <row r="13" spans="1:58">
      <c r="A13">
        <f t="shared" si="10"/>
        <v>710</v>
      </c>
      <c r="B13" s="2">
        <v>-1.0388992579818701E-5</v>
      </c>
      <c r="C13" s="2">
        <f t="shared" si="0"/>
        <v>7.9857515843649498</v>
      </c>
      <c r="D13" s="2">
        <v>-5.6236132260762301E-5</v>
      </c>
      <c r="E13" s="2">
        <f t="shared" si="1"/>
        <v>43.227269521043063</v>
      </c>
      <c r="F13" s="2">
        <v>-9.2919615496466608E-6</v>
      </c>
      <c r="G13" s="2">
        <f t="shared" si="2"/>
        <v>7.1424920267142937</v>
      </c>
      <c r="H13" s="2">
        <v>-5.16427406059946E-5</v>
      </c>
      <c r="I13" s="2">
        <f t="shared" si="3"/>
        <v>39.696447412658223</v>
      </c>
      <c r="J13" s="1">
        <v>-8.3080690444274908E-6</v>
      </c>
      <c r="K13" s="2">
        <f t="shared" si="4"/>
        <v>6.3861991453754658</v>
      </c>
      <c r="L13" s="1">
        <v>-4.7571000000000002E-5</v>
      </c>
      <c r="M13" s="2">
        <f t="shared" si="5"/>
        <v>36.566605058298599</v>
      </c>
      <c r="N13" s="2">
        <v>-7.3993954672533997E-6</v>
      </c>
      <c r="O13" s="2">
        <f t="shared" si="6"/>
        <v>5.6877251207924964</v>
      </c>
      <c r="P13" s="1">
        <v>-4.3771230277464901E-5</v>
      </c>
      <c r="Q13" s="2">
        <f t="shared" si="7"/>
        <v>33.645819732019518</v>
      </c>
      <c r="R13" s="1">
        <v>-6.5474210034287599E-6</v>
      </c>
      <c r="S13" s="2">
        <f t="shared" si="8"/>
        <v>5.0328342473941801</v>
      </c>
      <c r="T13" s="1">
        <v>-4.0088244107496003E-5</v>
      </c>
      <c r="U13" s="2">
        <f t="shared" si="9"/>
        <v>30.814802921096305</v>
      </c>
      <c r="V13" s="1"/>
      <c r="W13" s="2"/>
      <c r="X13" s="1"/>
      <c r="Y13" s="2"/>
      <c r="Z13" s="1"/>
      <c r="AA13" s="2"/>
      <c r="AB13" s="1"/>
      <c r="AC13" s="2"/>
    </row>
    <row r="14" spans="1:58">
      <c r="A14">
        <f t="shared" si="10"/>
        <v>720</v>
      </c>
      <c r="B14" s="2">
        <v>-8.7094052104387699E-6</v>
      </c>
      <c r="C14" s="2">
        <f t="shared" si="0"/>
        <v>6.6017140532102223</v>
      </c>
      <c r="D14" s="1">
        <v>-1.07797360625059E-4</v>
      </c>
      <c r="E14" s="2">
        <f t="shared" si="1"/>
        <v>81.710212505036296</v>
      </c>
      <c r="F14" s="1">
        <v>-7.8040609782869206E-6</v>
      </c>
      <c r="G14" s="2">
        <f t="shared" si="2"/>
        <v>5.9154646945024565</v>
      </c>
      <c r="H14" s="1">
        <v>-9.8187772890071307E-5</v>
      </c>
      <c r="I14" s="2">
        <f t="shared" si="3"/>
        <v>74.426161658534369</v>
      </c>
      <c r="J14" s="2">
        <v>-6.9857182600896301E-6</v>
      </c>
      <c r="K14" s="2">
        <f t="shared" si="4"/>
        <v>5.295162332569622</v>
      </c>
      <c r="L14" s="1">
        <v>-8.9227000000000005E-5</v>
      </c>
      <c r="M14" s="2">
        <f t="shared" si="5"/>
        <v>67.633911339866671</v>
      </c>
      <c r="N14" s="1">
        <v>-6.2360647442385697E-6</v>
      </c>
      <c r="O14" s="2">
        <f t="shared" si="6"/>
        <v>4.7269262669539458</v>
      </c>
      <c r="P14" s="1">
        <v>-8.0436474924535896E-5</v>
      </c>
      <c r="Q14" s="2">
        <f t="shared" si="7"/>
        <v>60.97070856957501</v>
      </c>
      <c r="R14" s="1">
        <v>-5.5515185029326897E-6</v>
      </c>
      <c r="S14" s="2">
        <f t="shared" si="8"/>
        <v>4.2080414025909061</v>
      </c>
      <c r="T14" s="1">
        <v>-7.1638200069996602E-5</v>
      </c>
      <c r="U14" s="2">
        <f t="shared" si="9"/>
        <v>54.301631480177299</v>
      </c>
      <c r="V14" s="1"/>
      <c r="W14" s="2"/>
      <c r="X14" s="1"/>
      <c r="Y14" s="2"/>
      <c r="Z14" s="1"/>
      <c r="AA14" s="2"/>
      <c r="AB14" s="1"/>
      <c r="AC14" s="2"/>
    </row>
    <row r="15" spans="1:58">
      <c r="A15">
        <f t="shared" si="10"/>
        <v>730</v>
      </c>
      <c r="B15" s="2">
        <v>-7.6234267290637803E-6</v>
      </c>
      <c r="C15" s="2">
        <f t="shared" si="0"/>
        <v>5.6993861063250559</v>
      </c>
      <c r="D15" s="1">
        <v>-1.0665190301888199E-4</v>
      </c>
      <c r="E15" s="2">
        <f t="shared" si="1"/>
        <v>79.734533547958989</v>
      </c>
      <c r="F15" s="2">
        <v>-6.8350155427667703E-6</v>
      </c>
      <c r="G15" s="2">
        <f t="shared" si="2"/>
        <v>5.1099582911246513</v>
      </c>
      <c r="H15" s="2">
        <v>-9.4080246106132605E-5</v>
      </c>
      <c r="I15" s="2">
        <f t="shared" si="3"/>
        <v>70.335777674980534</v>
      </c>
      <c r="J15" s="1">
        <v>-6.13433030500953E-6</v>
      </c>
      <c r="K15" s="2">
        <f t="shared" si="4"/>
        <v>4.5861156871476449</v>
      </c>
      <c r="L15" s="1">
        <v>-8.2640999999999997E-5</v>
      </c>
      <c r="M15" s="2">
        <f t="shared" si="5"/>
        <v>61.783628800043829</v>
      </c>
      <c r="N15" s="1">
        <v>-5.4940889697540903E-6</v>
      </c>
      <c r="O15" s="2">
        <f t="shared" si="6"/>
        <v>4.1074618349451475</v>
      </c>
      <c r="P15" s="1">
        <v>-7.2009350772233899E-5</v>
      </c>
      <c r="Q15" s="2">
        <f t="shared" si="7"/>
        <v>53.835251246280279</v>
      </c>
      <c r="R15" s="1">
        <v>-4.8866109587706603E-6</v>
      </c>
      <c r="S15" s="2">
        <f t="shared" si="8"/>
        <v>3.6533023265317799</v>
      </c>
      <c r="T15" s="1">
        <v>-6.2098185448975906E-5</v>
      </c>
      <c r="U15" s="2">
        <f t="shared" si="9"/>
        <v>46.425518071366646</v>
      </c>
      <c r="V15" s="1"/>
      <c r="W15" s="2"/>
      <c r="X15" s="1"/>
      <c r="Y15" s="2"/>
      <c r="Z15" s="1"/>
      <c r="AA15" s="2"/>
      <c r="AB15" s="1"/>
      <c r="AC15" s="2"/>
    </row>
    <row r="16" spans="1:58">
      <c r="A16">
        <f t="shared" si="10"/>
        <v>740</v>
      </c>
      <c r="B16" s="1">
        <v>-6.8884511345027998E-6</v>
      </c>
      <c r="C16" s="2">
        <f t="shared" si="0"/>
        <v>5.0803141815935575</v>
      </c>
      <c r="D16" s="1">
        <v>-6.4090862302885093E-5</v>
      </c>
      <c r="E16" s="2">
        <f t="shared" si="1"/>
        <v>47.2677689527384</v>
      </c>
      <c r="F16" s="1">
        <v>-6.1871527695842798E-6</v>
      </c>
      <c r="G16" s="2">
        <f t="shared" si="2"/>
        <v>4.5630983431914327</v>
      </c>
      <c r="H16" s="1">
        <v>-5.6382432369685502E-5</v>
      </c>
      <c r="I16" s="2">
        <f t="shared" si="3"/>
        <v>41.582710709194544</v>
      </c>
      <c r="J16" s="2">
        <v>-5.5550479229796404E-6</v>
      </c>
      <c r="K16" s="2">
        <f t="shared" si="4"/>
        <v>4.0969135428994061</v>
      </c>
      <c r="L16" s="1">
        <v>-4.9431000000000002E-5</v>
      </c>
      <c r="M16" s="2">
        <f t="shared" si="5"/>
        <v>36.455947121772972</v>
      </c>
      <c r="N16" s="1">
        <v>-4.9802541610738999E-6</v>
      </c>
      <c r="O16" s="2">
        <f t="shared" si="6"/>
        <v>3.6729963453925656</v>
      </c>
      <c r="P16" s="1">
        <v>-4.3126048534967603E-5</v>
      </c>
      <c r="Q16" s="2">
        <f t="shared" si="7"/>
        <v>31.805970847480204</v>
      </c>
      <c r="R16" s="1">
        <v>-4.4732765819689503E-6</v>
      </c>
      <c r="S16" s="2">
        <f t="shared" si="8"/>
        <v>3.2990943847651355</v>
      </c>
      <c r="T16" s="1">
        <v>-3.7244576697167598E-5</v>
      </c>
      <c r="U16" s="2">
        <f t="shared" si="9"/>
        <v>27.46831580677631</v>
      </c>
      <c r="V16" s="1"/>
      <c r="W16" s="2"/>
      <c r="X16" s="1"/>
      <c r="Y16" s="2"/>
      <c r="Z16" s="1"/>
      <c r="AA16" s="2"/>
      <c r="AB16" s="1"/>
      <c r="AC16" s="2"/>
    </row>
    <row r="17" spans="1:39">
      <c r="A17">
        <f>A16+10</f>
        <v>750</v>
      </c>
      <c r="B17" s="2">
        <v>-6.3831757743510102E-6</v>
      </c>
      <c r="C17" s="2">
        <f t="shared" si="0"/>
        <v>4.6448987258752554</v>
      </c>
      <c r="D17" s="1">
        <v>-3.96459693773891E-5</v>
      </c>
      <c r="E17" s="2">
        <f t="shared" si="1"/>
        <v>28.849513025645457</v>
      </c>
      <c r="F17" s="2">
        <v>-5.7329769478201002E-6</v>
      </c>
      <c r="G17" s="2">
        <f t="shared" si="2"/>
        <v>4.1717631257160894</v>
      </c>
      <c r="H17" s="2">
        <v>-3.5012888721934901E-5</v>
      </c>
      <c r="I17" s="2">
        <f t="shared" si="3"/>
        <v>25.478120603730758</v>
      </c>
      <c r="J17" s="1">
        <v>-5.1633343471200597E-6</v>
      </c>
      <c r="K17" s="2">
        <f t="shared" si="4"/>
        <v>3.7572465459239721</v>
      </c>
      <c r="L17" s="1">
        <v>-3.0883000000000002E-5</v>
      </c>
      <c r="M17" s="2">
        <f t="shared" si="5"/>
        <v>22.472890050688004</v>
      </c>
      <c r="N17" s="1">
        <v>-4.6382398275063797E-6</v>
      </c>
      <c r="O17" s="2">
        <f t="shared" si="6"/>
        <v>3.3751466396487695</v>
      </c>
      <c r="P17" s="1">
        <v>-2.7040736626724999E-5</v>
      </c>
      <c r="Q17" s="2">
        <f t="shared" si="7"/>
        <v>19.676958232749499</v>
      </c>
      <c r="R17" s="1">
        <v>-4.1404973006899697E-6</v>
      </c>
      <c r="S17" s="2">
        <f t="shared" si="8"/>
        <v>3.012950185978569</v>
      </c>
      <c r="T17" s="1">
        <v>-2.3539524704321299E-5</v>
      </c>
      <c r="U17" s="2">
        <f t="shared" si="9"/>
        <v>17.129202167071416</v>
      </c>
      <c r="V17" s="1"/>
      <c r="W17" s="2"/>
      <c r="X17" s="1"/>
      <c r="Y17" s="2"/>
      <c r="Z17" s="1"/>
      <c r="AA17" s="2"/>
      <c r="AB17" s="1"/>
      <c r="AC17" s="2"/>
    </row>
    <row r="18" spans="1:39">
      <c r="A18">
        <f t="shared" si="10"/>
        <v>760</v>
      </c>
      <c r="B18" s="1">
        <v>-6.0525437706376898E-6</v>
      </c>
      <c r="C18" s="2">
        <f t="shared" si="0"/>
        <v>4.3463535982744741</v>
      </c>
      <c r="D18" s="2">
        <v>-2.7434333749358999E-5</v>
      </c>
      <c r="E18" s="2">
        <f t="shared" si="1"/>
        <v>19.700694406581118</v>
      </c>
      <c r="F18" s="1">
        <v>-5.4480324629347199E-6</v>
      </c>
      <c r="G18" s="2">
        <f t="shared" si="2"/>
        <v>3.9122518392457097</v>
      </c>
      <c r="H18" s="1">
        <v>-2.4338234616311401E-5</v>
      </c>
      <c r="I18" s="2">
        <f t="shared" si="3"/>
        <v>17.477374408001722</v>
      </c>
      <c r="J18" s="1">
        <v>-4.8985761341099102E-6</v>
      </c>
      <c r="K18" s="2">
        <f t="shared" si="4"/>
        <v>3.5176852599063286</v>
      </c>
      <c r="L18" s="1">
        <v>-2.1540999999999999E-5</v>
      </c>
      <c r="M18" s="2">
        <f t="shared" si="5"/>
        <v>15.468670101094739</v>
      </c>
      <c r="N18" s="1">
        <v>-4.4209512808815699E-6</v>
      </c>
      <c r="O18" s="2">
        <f t="shared" si="6"/>
        <v>3.1747011232983255</v>
      </c>
      <c r="P18" s="1">
        <v>-1.9044698299555501E-5</v>
      </c>
      <c r="Q18" s="2">
        <f t="shared" si="7"/>
        <v>13.6760668107657</v>
      </c>
      <c r="R18" s="1">
        <v>-3.9869158350081398E-6</v>
      </c>
      <c r="S18" s="2">
        <f t="shared" si="8"/>
        <v>2.8630186979514218</v>
      </c>
      <c r="T18" s="1">
        <v>-1.66433805595796E-5</v>
      </c>
      <c r="U18" s="2">
        <f t="shared" si="9"/>
        <v>11.951671846391086</v>
      </c>
      <c r="V18" s="1"/>
      <c r="W18" s="2"/>
      <c r="X18" s="1"/>
      <c r="Y18" s="2"/>
      <c r="Z18" s="1"/>
      <c r="AA18" s="2"/>
      <c r="AB18" s="1"/>
      <c r="AC18" s="2"/>
    </row>
    <row r="19" spans="1:39">
      <c r="A19">
        <f t="shared" si="10"/>
        <v>770</v>
      </c>
      <c r="B19" s="2">
        <v>-5.86736003103043E-6</v>
      </c>
      <c r="C19" s="2">
        <f t="shared" si="0"/>
        <v>4.1586533611296739</v>
      </c>
      <c r="D19" s="1">
        <v>-2.09175289943317E-5</v>
      </c>
      <c r="E19" s="2">
        <f t="shared" si="1"/>
        <v>14.825875998532835</v>
      </c>
      <c r="F19" s="2">
        <v>-5.2751064671770904E-6</v>
      </c>
      <c r="G19" s="2">
        <f t="shared" si="2"/>
        <v>3.7388773015502568</v>
      </c>
      <c r="H19" s="2">
        <v>-1.86071257410087E-5</v>
      </c>
      <c r="I19" s="2">
        <f t="shared" si="3"/>
        <v>13.188313925610366</v>
      </c>
      <c r="J19" s="1">
        <v>-4.7688094371914602E-6</v>
      </c>
      <c r="K19" s="2">
        <f t="shared" si="4"/>
        <v>3.3800253077499138</v>
      </c>
      <c r="L19" s="1">
        <v>-1.6554000000000001E-5</v>
      </c>
      <c r="M19" s="2">
        <f t="shared" si="5"/>
        <v>11.733104390399999</v>
      </c>
      <c r="N19" s="1">
        <v>-4.27924116788171E-6</v>
      </c>
      <c r="O19" s="2">
        <f t="shared" si="6"/>
        <v>3.0330302847923956</v>
      </c>
      <c r="P19" s="1">
        <v>-1.46433120153181E-5</v>
      </c>
      <c r="Q19" s="2">
        <f t="shared" si="7"/>
        <v>10.378851546268326</v>
      </c>
      <c r="R19" s="1">
        <v>-3.8714990565561102E-6</v>
      </c>
      <c r="S19" s="2">
        <f t="shared" si="8"/>
        <v>2.7440318097081038</v>
      </c>
      <c r="T19" s="1">
        <v>-1.29857518266868E-5</v>
      </c>
      <c r="U19" s="2">
        <f t="shared" si="9"/>
        <v>9.2040100139146865</v>
      </c>
      <c r="V19" s="1"/>
      <c r="W19" s="2"/>
      <c r="X19" s="1"/>
      <c r="Y19" s="2"/>
      <c r="Z19" s="1"/>
      <c r="AA19" s="2"/>
      <c r="AB19" s="1"/>
      <c r="AC19" s="2"/>
    </row>
    <row r="20" spans="1:39">
      <c r="A20">
        <f t="shared" si="10"/>
        <v>780</v>
      </c>
      <c r="B20" s="1">
        <v>-5.7459238989298097E-6</v>
      </c>
      <c r="C20" s="2">
        <f t="shared" si="0"/>
        <v>4.0203695591883424</v>
      </c>
      <c r="D20" s="2">
        <v>-1.7001899622983799E-5</v>
      </c>
      <c r="E20" s="2">
        <f t="shared" si="1"/>
        <v>11.896071179319113</v>
      </c>
      <c r="F20" s="1">
        <v>-5.1795330227167803E-6</v>
      </c>
      <c r="G20" s="2">
        <f t="shared" si="2"/>
        <v>3.624071126180382</v>
      </c>
      <c r="H20" s="1">
        <v>-1.5162815420705399E-5</v>
      </c>
      <c r="I20" s="2">
        <f t="shared" si="3"/>
        <v>10.609281052321197</v>
      </c>
      <c r="J20" s="1">
        <v>-4.6668129746903697E-6</v>
      </c>
      <c r="K20" s="2">
        <f t="shared" si="4"/>
        <v>3.2653256729287481</v>
      </c>
      <c r="L20" s="1">
        <v>-1.3536000000000001E-5</v>
      </c>
      <c r="M20" s="2">
        <f t="shared" si="5"/>
        <v>9.4710134193230768</v>
      </c>
      <c r="N20" s="1">
        <v>-4.23679201412681E-6</v>
      </c>
      <c r="O20" s="2">
        <f t="shared" si="6"/>
        <v>2.9644440027095054</v>
      </c>
      <c r="P20" s="1">
        <v>-1.2045597408889099E-5</v>
      </c>
      <c r="Q20" s="2">
        <f t="shared" si="7"/>
        <v>8.4281925756022407</v>
      </c>
      <c r="R20" s="1">
        <v>-3.7829737735111502E-6</v>
      </c>
      <c r="S20" s="2">
        <f t="shared" si="8"/>
        <v>2.6469115967694563</v>
      </c>
      <c r="T20" s="1">
        <v>-1.0625296852535199E-5</v>
      </c>
      <c r="U20" s="2">
        <f t="shared" si="9"/>
        <v>7.4344214741912023</v>
      </c>
      <c r="V20" s="1"/>
      <c r="W20" s="2"/>
      <c r="X20" s="1"/>
      <c r="Y20" s="2"/>
      <c r="Z20" s="1"/>
      <c r="AA20" s="2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>
        <f t="shared" si="10"/>
        <v>790</v>
      </c>
      <c r="B21" s="2">
        <v>-5.6856325390551298E-6</v>
      </c>
      <c r="C21" s="2">
        <f t="shared" si="0"/>
        <v>3.9278274922092646</v>
      </c>
      <c r="D21" s="1">
        <v>-1.44951080218993E-5</v>
      </c>
      <c r="E21" s="2">
        <f t="shared" si="1"/>
        <v>10.013711473591076</v>
      </c>
      <c r="F21" s="2">
        <v>-5.1228505493599396E-6</v>
      </c>
      <c r="G21" s="2">
        <f t="shared" si="2"/>
        <v>3.5390386360774624</v>
      </c>
      <c r="H21" s="1">
        <v>-1.29697915018415E-5</v>
      </c>
      <c r="I21" s="2">
        <f t="shared" si="3"/>
        <v>8.9599711692977504</v>
      </c>
      <c r="J21" s="1">
        <v>-4.6256144098409897E-6</v>
      </c>
      <c r="K21" s="2">
        <f t="shared" si="4"/>
        <v>3.1955310728456143</v>
      </c>
      <c r="L21" s="1">
        <v>-1.1576000000000001E-5</v>
      </c>
      <c r="M21" s="2">
        <f t="shared" si="5"/>
        <v>7.997092801458229</v>
      </c>
      <c r="N21" s="1">
        <v>-4.1844346197063903E-6</v>
      </c>
      <c r="O21" s="2">
        <f t="shared" si="6"/>
        <v>2.8907491340209548</v>
      </c>
      <c r="P21" s="1">
        <v>-1.03825178441845E-5</v>
      </c>
      <c r="Q21" s="2">
        <f t="shared" si="7"/>
        <v>7.1725949129871687</v>
      </c>
      <c r="R21" s="1">
        <v>-3.8167036920134802E-6</v>
      </c>
      <c r="S21" s="2">
        <f t="shared" si="8"/>
        <v>2.6367081565912271</v>
      </c>
      <c r="T21" s="1">
        <v>-9.2168160550399299E-6</v>
      </c>
      <c r="U21" s="2">
        <f t="shared" si="9"/>
        <v>6.3672886425470328</v>
      </c>
      <c r="V21" s="1"/>
      <c r="W21" s="2"/>
      <c r="X21" s="1"/>
      <c r="Y21" s="2"/>
      <c r="Z21" s="1"/>
      <c r="AA21" s="2"/>
      <c r="AB21" s="1"/>
      <c r="AC21" s="2"/>
    </row>
    <row r="22" spans="1:39">
      <c r="A22">
        <f t="shared" si="10"/>
        <v>800</v>
      </c>
      <c r="B22" s="1">
        <v>-5.6656194092468296E-6</v>
      </c>
      <c r="C22" s="2">
        <f t="shared" si="0"/>
        <v>3.8650767226219087</v>
      </c>
      <c r="D22" s="2">
        <v>-1.28249399148252E-5</v>
      </c>
      <c r="E22" s="2">
        <f t="shared" si="1"/>
        <v>8.7491540029874848</v>
      </c>
      <c r="F22" s="1">
        <v>-5.10194659205875E-6</v>
      </c>
      <c r="G22" s="2">
        <f t="shared" si="2"/>
        <v>3.4805400060657963</v>
      </c>
      <c r="H22" s="1">
        <v>-1.14686259685451E-5</v>
      </c>
      <c r="I22" s="2">
        <f t="shared" si="3"/>
        <v>7.823878744684956</v>
      </c>
      <c r="J22" s="1">
        <v>-4.6330422575983803E-6</v>
      </c>
      <c r="K22" s="2">
        <f t="shared" si="4"/>
        <v>3.1606542005876932</v>
      </c>
      <c r="L22" s="1">
        <v>-1.0315E-5</v>
      </c>
      <c r="M22" s="2">
        <f t="shared" si="5"/>
        <v>7.0368769086000009</v>
      </c>
      <c r="N22" s="1">
        <v>-4.1630602856245901E-6</v>
      </c>
      <c r="O22" s="2">
        <f t="shared" si="6"/>
        <v>2.8400332324790503</v>
      </c>
      <c r="P22" s="1">
        <v>-9.1870321124907894E-6</v>
      </c>
      <c r="Q22" s="2">
        <f t="shared" si="7"/>
        <v>6.2673789753711215</v>
      </c>
      <c r="R22" s="1">
        <v>-3.8129840586891999E-6</v>
      </c>
      <c r="S22" s="2">
        <f t="shared" si="8"/>
        <v>2.6012117765826406</v>
      </c>
      <c r="T22" s="1">
        <v>-8.3205663187555792E-6</v>
      </c>
      <c r="U22" s="2">
        <f t="shared" si="9"/>
        <v>5.6762773625715992</v>
      </c>
      <c r="V22" s="1"/>
      <c r="W22" s="2"/>
      <c r="X22" s="1"/>
      <c r="Y22" s="2"/>
      <c r="Z22" s="1"/>
      <c r="AA22" s="2"/>
      <c r="AB22" s="1"/>
      <c r="AC22" s="2"/>
    </row>
    <row r="23" spans="1:39">
      <c r="A23">
        <f t="shared" si="10"/>
        <v>810</v>
      </c>
      <c r="B23" s="2">
        <v>-5.6758457389116798E-6</v>
      </c>
      <c r="C23" s="2">
        <f t="shared" si="0"/>
        <v>3.8242499839666131</v>
      </c>
      <c r="D23" s="1">
        <v>-1.16498572232932E-5</v>
      </c>
      <c r="E23" s="2">
        <f t="shared" si="1"/>
        <v>7.8493969619292372</v>
      </c>
      <c r="F23" s="1">
        <v>-5.1311230392715301E-6</v>
      </c>
      <c r="G23" s="2">
        <f t="shared" si="2"/>
        <v>3.4572287731744167</v>
      </c>
      <c r="H23" s="1">
        <v>-1.0455699313065599E-5</v>
      </c>
      <c r="I23" s="2">
        <f t="shared" si="3"/>
        <v>7.044801738748073</v>
      </c>
      <c r="J23" s="1">
        <v>-4.6275243555844804E-6</v>
      </c>
      <c r="K23" s="2">
        <f t="shared" si="4"/>
        <v>3.1179159471029512</v>
      </c>
      <c r="L23" s="1">
        <v>-9.3919000000000007E-6</v>
      </c>
      <c r="M23" s="2">
        <f t="shared" si="5"/>
        <v>6.3280390406281493</v>
      </c>
      <c r="N23" s="1">
        <v>-4.2281418983810204E-6</v>
      </c>
      <c r="O23" s="2">
        <f t="shared" si="6"/>
        <v>2.8488215379497985</v>
      </c>
      <c r="P23" s="1">
        <v>-8.4383779295821499E-6</v>
      </c>
      <c r="Q23" s="2">
        <f t="shared" si="7"/>
        <v>5.6855785280902449</v>
      </c>
      <c r="R23" s="1">
        <v>-3.77690142891564E-6</v>
      </c>
      <c r="S23" s="2">
        <f t="shared" si="8"/>
        <v>2.5447864324345884</v>
      </c>
      <c r="T23" s="1">
        <v>-7.5296922225657503E-6</v>
      </c>
      <c r="U23" s="2">
        <f t="shared" si="9"/>
        <v>5.0733276917673953</v>
      </c>
      <c r="V23" s="1"/>
      <c r="W23" s="2"/>
      <c r="X23" s="1"/>
      <c r="Y23" s="2"/>
      <c r="Z23" s="1"/>
      <c r="AA23" s="2"/>
      <c r="AB23" s="1"/>
      <c r="AC23" s="2"/>
    </row>
    <row r="24" spans="1:39">
      <c r="A24">
        <f t="shared" si="10"/>
        <v>820</v>
      </c>
      <c r="B24" s="1">
        <v>-5.7259561956381304E-6</v>
      </c>
      <c r="C24" s="2">
        <f t="shared" si="0"/>
        <v>3.8109642772416268</v>
      </c>
      <c r="D24" s="1">
        <v>-1.0829411045578099E-5</v>
      </c>
      <c r="E24" s="2">
        <f t="shared" si="1"/>
        <v>7.2076168989386806</v>
      </c>
      <c r="F24" s="1">
        <v>-5.1658104906514E-6</v>
      </c>
      <c r="G24" s="2">
        <f t="shared" si="2"/>
        <v>3.4381540078614825</v>
      </c>
      <c r="H24" s="1">
        <v>-9.73743893364056E-6</v>
      </c>
      <c r="I24" s="2">
        <f t="shared" si="3"/>
        <v>6.4808445367071732</v>
      </c>
      <c r="J24" s="1">
        <v>-4.6715620904826298E-6</v>
      </c>
      <c r="K24" s="2">
        <f t="shared" si="4"/>
        <v>3.10920231267355</v>
      </c>
      <c r="L24" s="1">
        <v>-8.7315999999999995E-6</v>
      </c>
      <c r="M24" s="2">
        <f t="shared" si="5"/>
        <v>5.8113989255648777</v>
      </c>
      <c r="N24" s="1">
        <v>-4.26759361017596E-6</v>
      </c>
      <c r="O24" s="2">
        <f t="shared" si="6"/>
        <v>2.8403372716253736</v>
      </c>
      <c r="P24" s="1">
        <v>-7.9404892114819698E-6</v>
      </c>
      <c r="Q24" s="2">
        <f t="shared" si="7"/>
        <v>5.2848676613754435</v>
      </c>
      <c r="R24" s="1">
        <v>-3.8545393026201803E-6</v>
      </c>
      <c r="S24" s="2">
        <f t="shared" si="8"/>
        <v>2.5654250723572436</v>
      </c>
      <c r="T24" s="1">
        <v>-7.0406209743197397E-6</v>
      </c>
      <c r="U24" s="2">
        <f t="shared" si="9"/>
        <v>4.6859518490850789</v>
      </c>
      <c r="V24" s="1"/>
      <c r="W24" s="2"/>
      <c r="X24" s="1"/>
      <c r="Y24" s="2"/>
      <c r="Z24" s="1"/>
      <c r="AA24" s="2"/>
      <c r="AB24" s="1"/>
      <c r="AC24" s="2"/>
    </row>
    <row r="25" spans="1:39">
      <c r="A25">
        <f t="shared" si="10"/>
        <v>830</v>
      </c>
      <c r="B25" s="1">
        <v>-5.7475270663807999E-6</v>
      </c>
      <c r="C25" s="2">
        <f t="shared" si="0"/>
        <v>3.7792327696797665</v>
      </c>
      <c r="D25" s="1">
        <v>-1.01802632785205E-5</v>
      </c>
      <c r="E25" s="2">
        <f t="shared" si="1"/>
        <v>6.6939370866467192</v>
      </c>
      <c r="F25" s="1">
        <v>-5.1788746951996896E-6</v>
      </c>
      <c r="G25" s="2">
        <f t="shared" si="2"/>
        <v>3.4053207113452566</v>
      </c>
      <c r="H25" s="1">
        <v>-9.1319672544497304E-6</v>
      </c>
      <c r="I25" s="2">
        <f t="shared" si="3"/>
        <v>6.0046398217992181</v>
      </c>
      <c r="J25" s="1">
        <v>-4.7294635799099102E-6</v>
      </c>
      <c r="K25" s="2">
        <f t="shared" si="4"/>
        <v>3.1098146277121503</v>
      </c>
      <c r="L25" s="1">
        <v>-8.2657999999999997E-6</v>
      </c>
      <c r="M25" s="2">
        <f t="shared" si="5"/>
        <v>5.4350996292549389</v>
      </c>
      <c r="N25" s="1">
        <v>-4.2467523117990401E-6</v>
      </c>
      <c r="O25" s="2">
        <f t="shared" si="6"/>
        <v>2.7924123394464568</v>
      </c>
      <c r="P25" s="1">
        <v>-7.4200635738767801E-6</v>
      </c>
      <c r="Q25" s="2">
        <f t="shared" si="7"/>
        <v>4.8789935371562061</v>
      </c>
      <c r="R25" s="1">
        <v>-3.98699536684409E-6</v>
      </c>
      <c r="S25" s="2">
        <f t="shared" si="8"/>
        <v>2.6216115851067623</v>
      </c>
      <c r="T25" s="1">
        <v>-6.8034964877771204E-6</v>
      </c>
      <c r="U25" s="2">
        <f t="shared" si="9"/>
        <v>4.4735756053079818</v>
      </c>
      <c r="V25" s="1"/>
      <c r="W25" s="2"/>
      <c r="X25" s="1"/>
      <c r="Y25" s="2"/>
      <c r="Z25" s="1"/>
      <c r="AA25" s="2"/>
      <c r="AB25" s="1"/>
      <c r="AC25" s="2"/>
    </row>
    <row r="26" spans="1:39">
      <c r="A26">
        <f t="shared" si="10"/>
        <v>840</v>
      </c>
      <c r="B26" s="1">
        <v>-5.7771461991006797E-6</v>
      </c>
      <c r="C26" s="2">
        <f t="shared" si="0"/>
        <v>3.7534858330270602</v>
      </c>
      <c r="D26" s="1">
        <v>-9.6714613442325402E-6</v>
      </c>
      <c r="E26" s="2">
        <f t="shared" si="1"/>
        <v>6.2836722300530878</v>
      </c>
      <c r="F26" s="1">
        <v>-5.2306289298051401E-6</v>
      </c>
      <c r="G26" s="2">
        <f t="shared" si="2"/>
        <v>3.3984065677447011</v>
      </c>
      <c r="H26" s="1">
        <v>-8.7043757928711305E-6</v>
      </c>
      <c r="I26" s="2">
        <f t="shared" si="3"/>
        <v>5.6553443686385227</v>
      </c>
      <c r="J26" s="1">
        <v>-4.7454814923173899E-6</v>
      </c>
      <c r="K26" s="2">
        <f t="shared" si="4"/>
        <v>3.0832000677217097</v>
      </c>
      <c r="L26" s="1">
        <v>-7.8961000000000005E-6</v>
      </c>
      <c r="M26" s="2">
        <f t="shared" si="5"/>
        <v>5.1301972400800011</v>
      </c>
      <c r="N26" s="1">
        <v>-4.29978800961376E-6</v>
      </c>
      <c r="O26" s="2">
        <f t="shared" si="6"/>
        <v>2.7936273071325832</v>
      </c>
      <c r="P26" s="1">
        <v>-7.0685512621945702E-6</v>
      </c>
      <c r="Q26" s="2">
        <f t="shared" si="7"/>
        <v>4.5925282325039687</v>
      </c>
      <c r="R26" s="1">
        <v>-3.9617163585367198E-6</v>
      </c>
      <c r="S26" s="2">
        <f t="shared" si="8"/>
        <v>2.5739778281106962</v>
      </c>
      <c r="T26" s="1">
        <v>-6.54626139914006E-6</v>
      </c>
      <c r="U26" s="2">
        <f t="shared" si="9"/>
        <v>4.2531898231672063</v>
      </c>
      <c r="V26" s="1"/>
      <c r="W26" s="2"/>
      <c r="X26" s="1"/>
      <c r="Y26" s="2"/>
      <c r="Z26" s="1"/>
      <c r="AA26" s="2"/>
      <c r="AB26" s="1"/>
      <c r="AC26" s="2"/>
    </row>
    <row r="27" spans="1:39">
      <c r="A27">
        <f t="shared" si="10"/>
        <v>850</v>
      </c>
      <c r="B27" s="1">
        <v>-5.8373878756718E-6</v>
      </c>
      <c r="C27" s="2">
        <f t="shared" si="0"/>
        <v>3.7480064964312625</v>
      </c>
      <c r="D27" s="1">
        <v>-9.3023295093872508E-6</v>
      </c>
      <c r="E27" s="2">
        <f t="shared" si="1"/>
        <v>5.9727385220423042</v>
      </c>
      <c r="F27" s="1">
        <v>-5.2932007115901297E-6</v>
      </c>
      <c r="G27" s="2">
        <f t="shared" si="2"/>
        <v>3.3986007228740487</v>
      </c>
      <c r="H27" s="1">
        <v>-8.4137284629775503E-6</v>
      </c>
      <c r="I27" s="2">
        <f t="shared" si="3"/>
        <v>5.402195230142949</v>
      </c>
      <c r="J27" s="1">
        <v>-4.7699480378862196E-6</v>
      </c>
      <c r="K27" s="2">
        <f t="shared" si="4"/>
        <v>3.0626363391313323</v>
      </c>
      <c r="L27" s="1">
        <v>-7.5599000000000002E-6</v>
      </c>
      <c r="M27" s="2">
        <f t="shared" si="5"/>
        <v>4.8539783402880001</v>
      </c>
      <c r="N27" s="1">
        <v>-4.4322326485587397E-6</v>
      </c>
      <c r="O27" s="2">
        <f t="shared" si="6"/>
        <v>2.8457997162953794</v>
      </c>
      <c r="P27" s="1">
        <v>-6.9174466876899597E-6</v>
      </c>
      <c r="Q27" s="2">
        <f t="shared" si="7"/>
        <v>4.4414789074120069</v>
      </c>
      <c r="R27" s="1">
        <v>-3.9296730671615797E-6</v>
      </c>
      <c r="S27" s="2">
        <f t="shared" si="8"/>
        <v>2.5231217281201368</v>
      </c>
      <c r="T27" s="1">
        <v>-6.1855252554023899E-6</v>
      </c>
      <c r="U27" s="2">
        <f t="shared" si="9"/>
        <v>3.9715347574739881</v>
      </c>
      <c r="V27" s="1"/>
      <c r="W27" s="2"/>
      <c r="X27" s="1"/>
      <c r="Y27" s="2"/>
      <c r="Z27" s="1"/>
      <c r="AA27" s="2"/>
      <c r="AB27" s="1"/>
      <c r="AC27" s="2"/>
    </row>
    <row r="28" spans="1:39">
      <c r="C28" s="2"/>
      <c r="E28" s="2"/>
      <c r="F28" s="1"/>
      <c r="G28" s="2"/>
      <c r="I28" s="2"/>
      <c r="K28" s="2"/>
      <c r="M28" s="2"/>
      <c r="O28" s="2"/>
      <c r="Q28" s="2"/>
      <c r="S28" s="2"/>
      <c r="U28" s="2"/>
    </row>
    <row r="29" spans="1:39">
      <c r="F29" s="1"/>
    </row>
    <row r="30" spans="1:39">
      <c r="F30" s="1"/>
    </row>
    <row r="31" spans="1:39">
      <c r="F31" s="1"/>
    </row>
    <row r="32" spans="1:39">
      <c r="F32" s="1"/>
    </row>
    <row r="33" spans="6:6">
      <c r="F33" s="1"/>
    </row>
    <row r="34" spans="6:6">
      <c r="F34" s="1"/>
    </row>
    <row r="35" spans="6:6">
      <c r="F35" s="1"/>
    </row>
    <row r="36" spans="6:6">
      <c r="F36" s="1"/>
    </row>
    <row r="37" spans="6:6">
      <c r="F37" s="1"/>
    </row>
    <row r="38" spans="6:6">
      <c r="F38" s="1"/>
    </row>
    <row r="39" spans="6:6">
      <c r="F3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7727-4BD0-4E03-9724-326192CA5C33}">
  <dimension ref="A1:AV36"/>
  <sheetViews>
    <sheetView workbookViewId="0">
      <selection activeCell="B12" sqref="B12"/>
    </sheetView>
  </sheetViews>
  <sheetFormatPr defaultRowHeight="15"/>
  <cols>
    <col min="1" max="1" width="19.7109375" customWidth="1"/>
    <col min="2" max="2" width="18.28515625" customWidth="1"/>
    <col min="3" max="3" width="17.28515625" customWidth="1"/>
    <col min="4" max="4" width="16.28515625" customWidth="1"/>
    <col min="9" max="9" width="9.42578125" bestFit="1" customWidth="1"/>
    <col min="18" max="18" width="19" style="2" customWidth="1"/>
    <col min="22" max="22" width="19" customWidth="1"/>
    <col min="24" max="24" width="9.42578125" bestFit="1" customWidth="1"/>
  </cols>
  <sheetData>
    <row r="1" spans="1:48">
      <c r="A1" t="s">
        <v>141</v>
      </c>
      <c r="B1" t="s">
        <v>142</v>
      </c>
      <c r="C1" t="s">
        <v>143</v>
      </c>
      <c r="D1" s="2" t="s">
        <v>144</v>
      </c>
      <c r="E1" t="s">
        <v>145</v>
      </c>
      <c r="F1" s="2" t="s">
        <v>146</v>
      </c>
      <c r="G1" t="s">
        <v>147</v>
      </c>
      <c r="H1" s="2" t="s">
        <v>148</v>
      </c>
      <c r="I1" t="s">
        <v>149</v>
      </c>
      <c r="J1" s="2" t="s">
        <v>150</v>
      </c>
      <c r="K1" t="s">
        <v>85</v>
      </c>
      <c r="L1" s="2" t="s">
        <v>86</v>
      </c>
      <c r="M1" t="s">
        <v>87</v>
      </c>
      <c r="N1" s="2" t="s">
        <v>88</v>
      </c>
      <c r="O1" t="s">
        <v>151</v>
      </c>
      <c r="P1" s="2" t="s">
        <v>152</v>
      </c>
      <c r="Q1" t="s">
        <v>153</v>
      </c>
      <c r="R1" s="2" t="s">
        <v>154</v>
      </c>
      <c r="S1" t="s">
        <v>155</v>
      </c>
      <c r="T1" s="2" t="s">
        <v>156</v>
      </c>
      <c r="U1" t="s">
        <v>157</v>
      </c>
      <c r="V1" s="2" t="s">
        <v>158</v>
      </c>
    </row>
    <row r="2" spans="1:48">
      <c r="A2">
        <v>650</v>
      </c>
      <c r="B2">
        <v>715</v>
      </c>
      <c r="C2" s="2">
        <v>-3.2488184642905001E-5</v>
      </c>
      <c r="D2" s="2">
        <f>-8.686*2*3.1416*(C2)/((A2)*10^-7)</f>
        <v>27.278017085319078</v>
      </c>
      <c r="E2" s="1">
        <v>-6.7190874731199704E-5</v>
      </c>
      <c r="F2" s="2">
        <f>-8.686*2*3.1416*(E2)/((B2)*10^-7)</f>
        <v>51.286724390332708</v>
      </c>
      <c r="G2" s="1">
        <v>-3.2741190405721501E-5</v>
      </c>
      <c r="H2" s="2">
        <f>-8.686*2*3.1416*(G2)/((A2)*10^-7)</f>
        <v>27.490448022801449</v>
      </c>
      <c r="I2" s="1">
        <v>-6.7669207444010597E-5</v>
      </c>
      <c r="J2" s="2">
        <f>-8.686*2*3.1416*(I2)/((B2)*10^-7)</f>
        <v>51.651835249611651</v>
      </c>
      <c r="K2" s="2">
        <v>-3.2991770318704599E-5</v>
      </c>
      <c r="L2" s="2">
        <f>-8.686*2*3.1416*(K2)/((A2)*10^-7)</f>
        <v>27.700842146779792</v>
      </c>
      <c r="M2" s="1">
        <v>-6.8141476829525799E-5</v>
      </c>
      <c r="N2" s="2">
        <f>-8.686*2*3.1416*(M2)/((B2)*10^-7)</f>
        <v>52.012317977508971</v>
      </c>
      <c r="O2" s="2">
        <v>-3.3242058886443598E-5</v>
      </c>
      <c r="P2" s="2">
        <f>-8.686*2*3.1416*(O2)/((A2)*10^-7)</f>
        <v>27.910991648886107</v>
      </c>
      <c r="Q2" s="1">
        <v>-6.8611815028113098E-5</v>
      </c>
      <c r="R2" s="2">
        <f>-8.686*2*3.1416*(Q2)/((B2)*10^-7)</f>
        <v>52.371326632444543</v>
      </c>
      <c r="S2" s="1">
        <v>-3.34904650027338E-5</v>
      </c>
      <c r="T2" s="2">
        <f>-8.686*2*3.1416*(S2)/((A2)*10^-7)</f>
        <v>28.119560590448735</v>
      </c>
      <c r="U2" s="1">
        <v>-6.9077160447293204E-5</v>
      </c>
      <c r="V2" s="2">
        <f>-8.686*2*3.1416*(U2)/((B2)*10^-7)</f>
        <v>52.726524304081821</v>
      </c>
    </row>
    <row r="3" spans="1:48">
      <c r="A3">
        <f>A2+1</f>
        <v>651</v>
      </c>
      <c r="B3">
        <f>B2+1</f>
        <v>716</v>
      </c>
      <c r="C3" s="2">
        <v>-3.4945287856175201E-5</v>
      </c>
      <c r="D3" s="2">
        <f t="shared" ref="D3:D27" si="0">-8.686*2*3.1416*(C3)/((A3)*10^-7)</f>
        <v>29.296001057860114</v>
      </c>
      <c r="E3" s="1">
        <v>-7.1657723824085096E-5</v>
      </c>
      <c r="F3" s="2">
        <f t="shared" ref="F3:F27" si="1">-8.686*2*3.1416*(E3)/((B3)*10^-7)</f>
        <v>54.619874197476754</v>
      </c>
      <c r="G3" s="2">
        <v>-3.5218290886396697E-5</v>
      </c>
      <c r="H3" s="2">
        <f t="shared" ref="H3:H27" si="2">-8.686*2*3.1416*(G3)/((A3)*10^-7)</f>
        <v>29.524870171632621</v>
      </c>
      <c r="I3" s="1">
        <v>-7.2175762785343806E-5</v>
      </c>
      <c r="J3" s="2">
        <f t="shared" ref="J3:K27" si="3">-8.686*2*3.1416*(I3)/((B3)*10^-7)</f>
        <v>55.014740534046481</v>
      </c>
      <c r="K3" s="1">
        <v>-3.5488714350968301E-5</v>
      </c>
      <c r="L3" s="2">
        <f t="shared" ref="L3:L27" si="4">-8.686*2*3.1416*(K3)/((A3)*10^-7)</f>
        <v>29.751576734668127</v>
      </c>
      <c r="M3" s="1">
        <v>-7.26872940852695E-5</v>
      </c>
      <c r="N3" s="2">
        <f t="shared" ref="N3:N27" si="5">-8.686*2*3.1416*(M3)/((B3)*10^-7)</f>
        <v>55.404646517086135</v>
      </c>
      <c r="O3" s="1">
        <v>-3.5758899236982198E-5</v>
      </c>
      <c r="P3" s="2">
        <f t="shared" ref="P3:P27" si="6">-8.686*2*3.1416*(O3)/((A3)*10^-7)</f>
        <v>29.978083287971057</v>
      </c>
      <c r="Q3" s="1">
        <v>-7.3196788992224997E-5</v>
      </c>
      <c r="R3" s="2">
        <f t="shared" ref="R3:R27" si="7">-8.686*2*3.1416*(Q3)/((B3)*10^-7)</f>
        <v>55.793000294419073</v>
      </c>
      <c r="S3" s="1">
        <v>-3.6026840340760801E-5</v>
      </c>
      <c r="T3" s="2">
        <f t="shared" ref="T3:T27" si="8">-8.686*2*3.1416*(S3)/((A3)*10^-7)</f>
        <v>30.20270879090149</v>
      </c>
      <c r="U3" s="1">
        <v>-7.3700924696797095E-5</v>
      </c>
      <c r="V3" s="2">
        <f t="shared" ref="V3:V27" si="9">-8.686*2*3.1416*(U3)/((B3)*10^-7)</f>
        <v>56.177269111410567</v>
      </c>
    </row>
    <row r="4" spans="1:48">
      <c r="A4">
        <f t="shared" ref="A4:A27" si="10">A3+1</f>
        <v>652</v>
      </c>
      <c r="B4">
        <f t="shared" ref="B4:B27" si="11">B3+1</f>
        <v>717</v>
      </c>
      <c r="C4" s="2">
        <v>-3.7541809445555402E-5</v>
      </c>
      <c r="D4" s="2">
        <f t="shared" si="0"/>
        <v>31.424495507405105</v>
      </c>
      <c r="E4" s="1">
        <v>-7.6089577491011306E-5</v>
      </c>
      <c r="F4" s="2">
        <f t="shared" si="1"/>
        <v>57.917089053977158</v>
      </c>
      <c r="G4" s="1">
        <v>-3.78363917882477E-5</v>
      </c>
      <c r="H4" s="2">
        <f t="shared" si="2"/>
        <v>31.671076629658145</v>
      </c>
      <c r="I4" s="1">
        <v>-7.6650182155063703E-5</v>
      </c>
      <c r="J4" s="2">
        <f t="shared" si="3"/>
        <v>58.343804398215113</v>
      </c>
      <c r="K4" s="2">
        <v>-3.8128200132087299E-5</v>
      </c>
      <c r="L4" s="2">
        <f t="shared" si="4"/>
        <v>31.915335767015641</v>
      </c>
      <c r="M4" s="1">
        <v>-7.7203851563686996E-5</v>
      </c>
      <c r="N4" s="2">
        <f t="shared" si="5"/>
        <v>58.765240835412925</v>
      </c>
      <c r="O4" s="2">
        <v>-3.8419758938272503E-5</v>
      </c>
      <c r="P4" s="2">
        <f t="shared" si="6"/>
        <v>32.159386028055899</v>
      </c>
      <c r="Q4" s="1">
        <v>-7.7755418336294998E-5</v>
      </c>
      <c r="R4" s="2">
        <f t="shared" si="7"/>
        <v>59.185076809559668</v>
      </c>
      <c r="S4" s="1">
        <v>-3.87089059928492E-5</v>
      </c>
      <c r="T4" s="2">
        <f t="shared" si="8"/>
        <v>32.401417524451993</v>
      </c>
      <c r="U4" s="1">
        <v>-7.8301276980981006E-5</v>
      </c>
      <c r="V4" s="2">
        <f t="shared" si="9"/>
        <v>59.600567929074643</v>
      </c>
    </row>
    <row r="5" spans="1:48">
      <c r="A5">
        <f t="shared" si="10"/>
        <v>653</v>
      </c>
      <c r="B5">
        <f t="shared" si="11"/>
        <v>718</v>
      </c>
      <c r="C5" s="2">
        <v>-4.0249517309721298E-5</v>
      </c>
      <c r="D5" s="2">
        <f t="shared" si="0"/>
        <v>33.639397144802288</v>
      </c>
      <c r="E5" s="1">
        <v>-8.0363427192066094E-5</v>
      </c>
      <c r="F5" s="2">
        <f t="shared" si="1"/>
        <v>61.085019123655783</v>
      </c>
      <c r="G5" s="2">
        <v>-4.0567179292334498E-5</v>
      </c>
      <c r="H5" s="2">
        <f t="shared" si="2"/>
        <v>33.904889958261435</v>
      </c>
      <c r="I5" s="1">
        <v>-8.0968770049382903E-5</v>
      </c>
      <c r="J5" s="2">
        <f t="shared" si="3"/>
        <v>61.545146090705003</v>
      </c>
      <c r="K5" s="1">
        <v>-4.0881867296269603E-5</v>
      </c>
      <c r="L5" s="2">
        <f t="shared" si="4"/>
        <v>34.167897205270613</v>
      </c>
      <c r="M5" s="1">
        <v>-8.1567009383090903E-5</v>
      </c>
      <c r="N5" s="2">
        <f t="shared" si="5"/>
        <v>61.999873600679642</v>
      </c>
      <c r="O5" s="1">
        <v>-4.11963017699223E-5</v>
      </c>
      <c r="P5" s="2">
        <f t="shared" si="6"/>
        <v>34.430692558909932</v>
      </c>
      <c r="Q5" s="1">
        <v>-8.2163052404461093E-5</v>
      </c>
      <c r="R5" s="2">
        <f t="shared" si="7"/>
        <v>62.452931672380615</v>
      </c>
      <c r="S5" s="1">
        <v>-4.1508152617328399E-5</v>
      </c>
      <c r="T5" s="2">
        <f t="shared" si="8"/>
        <v>34.691328591514058</v>
      </c>
      <c r="U5" s="1">
        <v>-8.2753070390180405E-5</v>
      </c>
      <c r="V5" s="2">
        <f t="shared" si="9"/>
        <v>62.901410056146254</v>
      </c>
    </row>
    <row r="6" spans="1:48">
      <c r="A6">
        <f t="shared" si="10"/>
        <v>654</v>
      </c>
      <c r="B6">
        <f t="shared" si="11"/>
        <v>719</v>
      </c>
      <c r="C6" s="2">
        <v>-4.3022943663493602E-5</v>
      </c>
      <c r="D6" s="2">
        <f t="shared" si="0"/>
        <v>35.902367035404559</v>
      </c>
      <c r="E6" s="1">
        <v>-8.4333407197817396E-5</v>
      </c>
      <c r="F6" s="2">
        <f t="shared" si="1"/>
        <v>64.013484094838162</v>
      </c>
      <c r="G6" s="1">
        <v>-4.3364967547757402E-5</v>
      </c>
      <c r="H6" s="2">
        <f t="shared" si="2"/>
        <v>36.187783745236366</v>
      </c>
      <c r="I6" s="1">
        <v>-8.4985105882293602E-5</v>
      </c>
      <c r="J6" s="2">
        <f t="shared" si="3"/>
        <v>64.508157614615314</v>
      </c>
      <c r="K6" s="2">
        <v>-4.3703841140295197E-5</v>
      </c>
      <c r="L6" s="2">
        <f t="shared" si="4"/>
        <v>36.470571557085272</v>
      </c>
      <c r="M6" s="1">
        <v>-8.5629393865408403E-5</v>
      </c>
      <c r="N6" s="2">
        <f t="shared" si="5"/>
        <v>64.997206022950976</v>
      </c>
      <c r="O6" s="2">
        <v>-4.40424052851632E-5</v>
      </c>
      <c r="P6" s="2">
        <f t="shared" si="6"/>
        <v>36.753101136863719</v>
      </c>
      <c r="Q6" s="1">
        <v>-8.6271548071965498E-5</v>
      </c>
      <c r="R6" s="2">
        <f t="shared" si="7"/>
        <v>65.484634782842704</v>
      </c>
      <c r="S6" s="1">
        <v>-4.43784073088921E-5</v>
      </c>
      <c r="T6" s="2">
        <f t="shared" si="8"/>
        <v>37.033492643193632</v>
      </c>
      <c r="U6" s="1">
        <v>-8.6907433800933299E-5</v>
      </c>
      <c r="V6" s="2">
        <f t="shared" si="9"/>
        <v>65.967305439109836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>
      <c r="A7">
        <f t="shared" si="10"/>
        <v>655</v>
      </c>
      <c r="B7">
        <f t="shared" si="11"/>
        <v>720</v>
      </c>
      <c r="C7" s="2">
        <v>-4.5799148853702001E-5</v>
      </c>
      <c r="D7" s="2">
        <f t="shared" si="0"/>
        <v>38.160742474898683</v>
      </c>
      <c r="E7" s="1">
        <v>-8.7838790771348001E-5</v>
      </c>
      <c r="F7" s="2">
        <f t="shared" si="1"/>
        <v>66.581651150777773</v>
      </c>
      <c r="G7" s="2">
        <v>-4.61665367715366E-5</v>
      </c>
      <c r="H7" s="2">
        <f t="shared" si="2"/>
        <v>38.466857240604462</v>
      </c>
      <c r="I7" s="1">
        <v>-8.8536807478553498E-5</v>
      </c>
      <c r="J7" s="2">
        <f t="shared" si="3"/>
        <v>67.110746604943913</v>
      </c>
      <c r="K7" s="1">
        <v>-4.65305835737725E-5</v>
      </c>
      <c r="L7" s="2">
        <f t="shared" si="4"/>
        <v>38.77018812374623</v>
      </c>
      <c r="M7" s="1">
        <v>-8.9227202329092504E-5</v>
      </c>
      <c r="N7" s="2">
        <f t="shared" si="5"/>
        <v>67.634064704968068</v>
      </c>
      <c r="O7" s="1">
        <v>-4.6894337526362398E-5</v>
      </c>
      <c r="P7" s="2">
        <f t="shared" si="6"/>
        <v>39.073274998861542</v>
      </c>
      <c r="Q7" s="1">
        <v>-8.9915619647648793E-5</v>
      </c>
      <c r="R7" s="2">
        <f t="shared" si="7"/>
        <v>68.155883839177051</v>
      </c>
      <c r="S7" s="1">
        <v>-4.7255378067779598E-5</v>
      </c>
      <c r="T7" s="2">
        <f t="shared" si="8"/>
        <v>39.374101006961169</v>
      </c>
      <c r="U7" s="1">
        <v>-9.0597616645584204E-5</v>
      </c>
      <c r="V7" s="2">
        <f t="shared" si="9"/>
        <v>68.672836381483961</v>
      </c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48">
      <c r="A8">
        <f t="shared" si="10"/>
        <v>656</v>
      </c>
      <c r="B8">
        <f t="shared" si="11"/>
        <v>721</v>
      </c>
      <c r="C8" s="1">
        <v>-4.8493323636565197E-5</v>
      </c>
      <c r="D8" s="2">
        <f t="shared" si="0"/>
        <v>40.343987482048668</v>
      </c>
      <c r="E8" s="1">
        <v>-9.0718297333350196E-5</v>
      </c>
      <c r="F8" s="2">
        <f t="shared" si="1"/>
        <v>68.6689386077866</v>
      </c>
      <c r="G8" s="1">
        <v>-4.8886599184152001E-5</v>
      </c>
      <c r="H8" s="2">
        <f t="shared" si="2"/>
        <v>40.671172805285082</v>
      </c>
      <c r="I8" s="1">
        <v>-9.1460780136733393E-5</v>
      </c>
      <c r="J8" s="2">
        <f t="shared" si="3"/>
        <v>69.230958702316244</v>
      </c>
      <c r="K8" s="2">
        <v>-4.9276168152179403E-5</v>
      </c>
      <c r="L8" s="2">
        <f t="shared" si="4"/>
        <v>40.995274442188382</v>
      </c>
      <c r="M8" s="1">
        <v>-9.2195232322269001E-5</v>
      </c>
      <c r="N8" s="2">
        <f t="shared" si="5"/>
        <v>69.786900045147846</v>
      </c>
      <c r="O8" s="1">
        <v>-4.9665593570987798E-5</v>
      </c>
      <c r="P8" s="2">
        <f t="shared" si="6"/>
        <v>41.319256653416957</v>
      </c>
      <c r="Q8" s="1">
        <v>-9.2928155420357697E-5</v>
      </c>
      <c r="R8" s="2">
        <f t="shared" si="7"/>
        <v>70.341683949897998</v>
      </c>
      <c r="S8" s="1">
        <v>-5.0052142261767201E-5</v>
      </c>
      <c r="T8" s="2">
        <f t="shared" si="8"/>
        <v>41.640845572726413</v>
      </c>
      <c r="U8" s="1">
        <v>-9.3654455997254396E-5</v>
      </c>
      <c r="V8" s="2">
        <f t="shared" si="9"/>
        <v>70.891454957420919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8">
      <c r="A9">
        <f t="shared" si="10"/>
        <v>657</v>
      </c>
      <c r="B9">
        <f t="shared" si="11"/>
        <v>722</v>
      </c>
      <c r="C9" s="2">
        <v>-5.1001267179283297E-5</v>
      </c>
      <c r="D9" s="2">
        <f t="shared" si="0"/>
        <v>42.365887254466074</v>
      </c>
      <c r="E9" s="1">
        <v>-9.28300524043598E-5</v>
      </c>
      <c r="F9" s="2">
        <f t="shared" si="1"/>
        <v>70.170101867448764</v>
      </c>
      <c r="G9" s="2">
        <v>-5.1419971899736299E-5</v>
      </c>
      <c r="H9" s="2">
        <f t="shared" si="2"/>
        <v>42.713698161149395</v>
      </c>
      <c r="I9" s="1">
        <v>-9.3612399019007395E-5</v>
      </c>
      <c r="J9" s="2">
        <f t="shared" si="3"/>
        <v>70.761476537866344</v>
      </c>
      <c r="K9" s="1">
        <v>-5.1834811672172703E-5</v>
      </c>
      <c r="L9" s="2">
        <f t="shared" si="4"/>
        <v>43.058298521095907</v>
      </c>
      <c r="M9" s="1">
        <v>-9.4386744600118001E-5</v>
      </c>
      <c r="N9" s="2">
        <f t="shared" si="5"/>
        <v>71.346803238647013</v>
      </c>
      <c r="O9" s="1">
        <v>-5.2249572576658701E-5</v>
      </c>
      <c r="P9" s="2">
        <f t="shared" si="6"/>
        <v>43.402833366774246</v>
      </c>
      <c r="Q9" s="1">
        <v>-9.5159919836332701E-5</v>
      </c>
      <c r="R9" s="2">
        <f t="shared" si="7"/>
        <v>71.931245277419634</v>
      </c>
      <c r="S9" s="1">
        <v>-5.2661343052908003E-5</v>
      </c>
      <c r="T9" s="2">
        <f t="shared" si="8"/>
        <v>43.744884114458053</v>
      </c>
      <c r="U9" s="1">
        <v>-9.5926546208041202E-5</v>
      </c>
      <c r="V9" s="2">
        <f t="shared" si="9"/>
        <v>72.510737039017869</v>
      </c>
    </row>
    <row r="10" spans="1:48">
      <c r="A10">
        <f t="shared" si="10"/>
        <v>658</v>
      </c>
      <c r="B10">
        <f t="shared" si="11"/>
        <v>723</v>
      </c>
      <c r="C10" s="1">
        <v>-5.3203077551051503E-5</v>
      </c>
      <c r="D10" s="2">
        <f t="shared" si="0"/>
        <v>44.127728277843588</v>
      </c>
      <c r="E10" s="1">
        <v>-9.4070736147256894E-5</v>
      </c>
      <c r="F10" s="2">
        <f t="shared" si="1"/>
        <v>71.009581686650364</v>
      </c>
      <c r="G10" s="1">
        <v>-5.3645705475391903E-5</v>
      </c>
      <c r="H10" s="2">
        <f t="shared" si="2"/>
        <v>44.494852994543237</v>
      </c>
      <c r="I10" s="1">
        <v>-9.4886093694467996E-5</v>
      </c>
      <c r="J10" s="2">
        <f t="shared" si="3"/>
        <v>71.625056814450787</v>
      </c>
      <c r="K10" s="2">
        <v>-5.40845615656773E-5</v>
      </c>
      <c r="L10" s="2">
        <f t="shared" si="4"/>
        <v>44.858849274393933</v>
      </c>
      <c r="M10" s="1">
        <v>-9.5693606144966895E-5</v>
      </c>
      <c r="N10" s="2">
        <f t="shared" si="5"/>
        <v>72.234610047104653</v>
      </c>
      <c r="O10" s="1">
        <v>-5.4523304239137402E-5</v>
      </c>
      <c r="P10" s="2">
        <f t="shared" si="6"/>
        <v>45.222751483993825</v>
      </c>
      <c r="Q10" s="1">
        <v>-9.6500374687666203E-5</v>
      </c>
      <c r="R10" s="2">
        <f t="shared" si="7"/>
        <v>72.84360173869031</v>
      </c>
      <c r="S10" s="1">
        <v>-5.4958999471021203E-5</v>
      </c>
      <c r="T10" s="2">
        <f t="shared" si="8"/>
        <v>45.584126082786007</v>
      </c>
      <c r="U10" s="1">
        <v>-9.7300782340366501E-5</v>
      </c>
      <c r="V10" s="2">
        <f t="shared" si="9"/>
        <v>73.447791893087228</v>
      </c>
    </row>
    <row r="11" spans="1:48">
      <c r="A11">
        <f t="shared" si="10"/>
        <v>659</v>
      </c>
      <c r="B11">
        <f t="shared" si="11"/>
        <v>724</v>
      </c>
      <c r="C11" s="2">
        <v>-5.4974235615118703E-5</v>
      </c>
      <c r="D11" s="2">
        <f t="shared" si="0"/>
        <v>45.527572414963785</v>
      </c>
      <c r="E11" s="1">
        <v>-9.4392826006878497E-5</v>
      </c>
      <c r="F11" s="2">
        <f t="shared" si="1"/>
        <v>71.154296849816504</v>
      </c>
      <c r="G11" s="2">
        <v>-5.5438195680838097E-5</v>
      </c>
      <c r="H11" s="2">
        <f t="shared" si="2"/>
        <v>45.91180650668587</v>
      </c>
      <c r="I11" s="1">
        <v>-9.5232169303245494E-5</v>
      </c>
      <c r="J11" s="2">
        <f t="shared" si="3"/>
        <v>71.787002581756866</v>
      </c>
      <c r="K11" s="1">
        <v>-5.5898317327166699E-5</v>
      </c>
      <c r="L11" s="2">
        <f t="shared" si="4"/>
        <v>46.292861765363391</v>
      </c>
      <c r="M11" s="1">
        <v>-9.6064200980642495E-5</v>
      </c>
      <c r="N11" s="2">
        <f t="shared" si="5"/>
        <v>72.414196739050581</v>
      </c>
      <c r="O11" s="1">
        <v>-5.6358433442030997E-5</v>
      </c>
      <c r="P11" s="2">
        <f t="shared" si="6"/>
        <v>46.673912443092412</v>
      </c>
      <c r="Q11" s="1">
        <v>-9.6895843051868902E-5</v>
      </c>
      <c r="R11" s="2">
        <f t="shared" si="7"/>
        <v>73.041097207148951</v>
      </c>
      <c r="S11" s="1">
        <v>-5.68154612861862E-5</v>
      </c>
      <c r="T11" s="2">
        <f t="shared" si="8"/>
        <v>47.052405532402574</v>
      </c>
      <c r="U11" s="1">
        <v>-9.7721253889904795E-5</v>
      </c>
      <c r="V11" s="2">
        <f t="shared" si="9"/>
        <v>73.663300506670709</v>
      </c>
    </row>
    <row r="12" spans="1:48">
      <c r="A12">
        <f t="shared" si="10"/>
        <v>660</v>
      </c>
      <c r="B12">
        <f t="shared" si="11"/>
        <v>725</v>
      </c>
      <c r="C12" s="1">
        <v>-5.5933645524733501E-5</v>
      </c>
      <c r="D12" s="2">
        <f t="shared" si="0"/>
        <v>46.251934206649914</v>
      </c>
      <c r="E12" s="1">
        <v>-9.3812577338407403E-5</v>
      </c>
      <c r="F12" s="2">
        <f t="shared" si="1"/>
        <v>70.619358800155467</v>
      </c>
      <c r="G12" s="1">
        <v>-5.6412327430911501E-5</v>
      </c>
      <c r="H12" s="2">
        <f t="shared" si="2"/>
        <v>46.647759721378229</v>
      </c>
      <c r="I12" s="1">
        <v>-9.46657899150938E-5</v>
      </c>
      <c r="J12" s="2">
        <f t="shared" si="3"/>
        <v>71.261632222283836</v>
      </c>
      <c r="K12" s="1">
        <v>-5.6887029604582003E-5</v>
      </c>
      <c r="L12" s="2">
        <f t="shared" si="4"/>
        <v>47.040294366642016</v>
      </c>
      <c r="M12" s="1">
        <v>-9.5512031411994103E-5</v>
      </c>
      <c r="N12" s="2">
        <f t="shared" si="5"/>
        <v>71.898658019854764</v>
      </c>
      <c r="O12" s="1">
        <v>-5.7361752950996699E-5</v>
      </c>
      <c r="P12" s="2">
        <f t="shared" si="6"/>
        <v>47.432846519800421</v>
      </c>
      <c r="Q12" s="1">
        <v>-9.6358318861494E-5</v>
      </c>
      <c r="R12" s="2">
        <f t="shared" si="7"/>
        <v>72.535718409195894</v>
      </c>
      <c r="S12" s="1">
        <v>-5.78335193310595E-5</v>
      </c>
      <c r="T12" s="2">
        <f t="shared" si="8"/>
        <v>47.822953536192294</v>
      </c>
      <c r="U12" s="1">
        <v>-9.7198718457681301E-5</v>
      </c>
      <c r="V12" s="2">
        <f t="shared" si="9"/>
        <v>73.168346595122088</v>
      </c>
    </row>
    <row r="13" spans="1:48">
      <c r="A13">
        <f t="shared" si="10"/>
        <v>661</v>
      </c>
      <c r="B13">
        <f t="shared" si="11"/>
        <v>726</v>
      </c>
      <c r="C13" s="2">
        <v>-5.6086911221338102E-5</v>
      </c>
      <c r="D13" s="2">
        <f t="shared" si="0"/>
        <v>46.308506311183486</v>
      </c>
      <c r="E13" s="1">
        <v>-9.2403538258731602E-5</v>
      </c>
      <c r="F13" s="2">
        <f t="shared" si="1"/>
        <v>69.462864628746019</v>
      </c>
      <c r="G13" s="2">
        <v>-5.6572786237528703E-5</v>
      </c>
      <c r="H13" s="2">
        <f t="shared" si="2"/>
        <v>46.709672033519581</v>
      </c>
      <c r="I13" s="1">
        <v>-9.3260072990492297E-5</v>
      </c>
      <c r="J13" s="2">
        <f t="shared" si="3"/>
        <v>70.106750753057824</v>
      </c>
      <c r="K13" s="1">
        <v>-5.7054739535481098E-5</v>
      </c>
      <c r="L13" s="2">
        <f t="shared" si="4"/>
        <v>47.107599764855109</v>
      </c>
      <c r="M13" s="1">
        <v>-9.4110015544888502E-5</v>
      </c>
      <c r="N13" s="2">
        <f t="shared" si="5"/>
        <v>70.745681314709302</v>
      </c>
      <c r="O13" s="1">
        <v>-5.7536825724596601E-5</v>
      </c>
      <c r="P13" s="2">
        <f t="shared" si="6"/>
        <v>47.505637218604143</v>
      </c>
      <c r="Q13" s="1">
        <v>-9.4960392565965004E-5</v>
      </c>
      <c r="R13" s="2">
        <f t="shared" si="7"/>
        <v>71.384938479657222</v>
      </c>
      <c r="S13" s="1">
        <v>-5.8016018302773198E-5</v>
      </c>
      <c r="T13" s="2">
        <f t="shared" si="8"/>
        <v>47.901285544524448</v>
      </c>
      <c r="U13" s="1">
        <v>-9.5805252612048895E-5</v>
      </c>
      <c r="V13" s="2">
        <f t="shared" si="9"/>
        <v>72.020048347929119</v>
      </c>
    </row>
    <row r="14" spans="1:48">
      <c r="A14">
        <f t="shared" si="10"/>
        <v>662</v>
      </c>
      <c r="B14">
        <f t="shared" si="11"/>
        <v>727</v>
      </c>
      <c r="C14" s="1">
        <v>-5.57275196192952E-5</v>
      </c>
      <c r="D14" s="2">
        <f t="shared" si="0"/>
        <v>45.942268216740274</v>
      </c>
      <c r="E14" s="1">
        <v>-9.0286101029785404E-5</v>
      </c>
      <c r="F14" s="2">
        <f t="shared" si="1"/>
        <v>67.777757662945803</v>
      </c>
      <c r="G14" s="1">
        <v>-5.6215641118260297E-5</v>
      </c>
      <c r="H14" s="2">
        <f t="shared" si="2"/>
        <v>46.34467996915653</v>
      </c>
      <c r="I14" s="1">
        <v>-9.11360414930195E-5</v>
      </c>
      <c r="J14" s="2">
        <f t="shared" si="3"/>
        <v>68.415807795667874</v>
      </c>
      <c r="K14" s="1">
        <v>-5.6699933479198501E-5</v>
      </c>
      <c r="L14" s="2">
        <f t="shared" si="4"/>
        <v>46.743934945755875</v>
      </c>
      <c r="M14" s="1">
        <v>-9.1979721300460097E-5</v>
      </c>
      <c r="N14" s="2">
        <f t="shared" si="5"/>
        <v>69.04915805536028</v>
      </c>
      <c r="O14" s="1">
        <v>-5.7184464403191297E-5</v>
      </c>
      <c r="P14" s="2">
        <f t="shared" si="6"/>
        <v>47.14338659588234</v>
      </c>
      <c r="Q14" s="1">
        <v>-9.2824079294165598E-5</v>
      </c>
      <c r="R14" s="2">
        <f t="shared" si="7"/>
        <v>69.683017429343693</v>
      </c>
      <c r="S14" s="1">
        <v>-5.7666189725263698E-5</v>
      </c>
      <c r="T14" s="2">
        <f t="shared" si="8"/>
        <v>47.540525282560637</v>
      </c>
      <c r="U14" s="1">
        <v>-9.3663653120261501E-5</v>
      </c>
      <c r="V14" s="2">
        <f t="shared" si="9"/>
        <v>70.313285329676518</v>
      </c>
    </row>
    <row r="15" spans="1:48">
      <c r="A15">
        <f t="shared" si="10"/>
        <v>663</v>
      </c>
      <c r="B15">
        <f t="shared" si="11"/>
        <v>728</v>
      </c>
      <c r="C15" s="2">
        <v>-5.48911535924774E-5</v>
      </c>
      <c r="D15" s="2">
        <f t="shared" si="0"/>
        <v>45.184506003726675</v>
      </c>
      <c r="E15" s="1">
        <v>-8.7594921628788398E-5</v>
      </c>
      <c r="F15" s="2">
        <f t="shared" si="1"/>
        <v>65.667163612177703</v>
      </c>
      <c r="G15" s="2">
        <v>-5.5376548250421502E-5</v>
      </c>
      <c r="H15" s="2">
        <f t="shared" si="2"/>
        <v>45.584066158699578</v>
      </c>
      <c r="I15" s="1">
        <v>-8.8429599720716301E-5</v>
      </c>
      <c r="J15" s="2">
        <f t="shared" si="3"/>
        <v>66.292895581645155</v>
      </c>
      <c r="K15" s="1">
        <v>-5.5858285436080099E-5</v>
      </c>
      <c r="L15" s="2">
        <f t="shared" si="4"/>
        <v>45.980615608529185</v>
      </c>
      <c r="M15" s="1">
        <v>-8.9258395160176599E-5</v>
      </c>
      <c r="N15" s="2">
        <f t="shared" si="5"/>
        <v>66.914217511182457</v>
      </c>
      <c r="O15" s="1">
        <v>-5.6340491367217801E-5</v>
      </c>
      <c r="P15" s="2">
        <f t="shared" si="6"/>
        <v>46.377550913483503</v>
      </c>
      <c r="Q15" s="1">
        <v>-9.0088115125167695E-5</v>
      </c>
      <c r="R15" s="2">
        <f t="shared" si="7"/>
        <v>67.536232528494295</v>
      </c>
      <c r="S15" s="1">
        <v>-5.6819835912802999E-5</v>
      </c>
      <c r="T15" s="2">
        <f t="shared" si="8"/>
        <v>46.772130824458742</v>
      </c>
      <c r="U15" s="1">
        <v>-9.0913392232846099E-5</v>
      </c>
      <c r="V15" s="2">
        <f t="shared" si="9"/>
        <v>68.154916875116186</v>
      </c>
    </row>
    <row r="16" spans="1:48">
      <c r="A16">
        <f t="shared" si="10"/>
        <v>664</v>
      </c>
      <c r="B16">
        <f t="shared" si="11"/>
        <v>729</v>
      </c>
      <c r="C16" s="1">
        <v>-5.3637071620915099E-5</v>
      </c>
      <c r="D16" s="2">
        <f t="shared" si="0"/>
        <v>44.08569468187536</v>
      </c>
      <c r="E16" s="1">
        <v>-8.4479260260406707E-5</v>
      </c>
      <c r="F16" s="2">
        <f t="shared" si="1"/>
        <v>63.244575651032598</v>
      </c>
      <c r="G16" s="1">
        <v>-5.4115287382958101E-5</v>
      </c>
      <c r="H16" s="2">
        <f t="shared" si="2"/>
        <v>44.478752569645415</v>
      </c>
      <c r="I16" s="1">
        <v>-8.5291710119042596E-5</v>
      </c>
      <c r="J16" s="2">
        <f t="shared" si="3"/>
        <v>63.852808327180327</v>
      </c>
      <c r="K16" s="1">
        <v>-5.4589983330508303E-5</v>
      </c>
      <c r="L16" s="2">
        <f t="shared" si="4"/>
        <v>44.86891743096237</v>
      </c>
      <c r="M16" s="1">
        <v>-8.6098635051062898E-5</v>
      </c>
      <c r="N16" s="2">
        <f t="shared" si="5"/>
        <v>64.456904820811445</v>
      </c>
      <c r="O16" s="1">
        <v>-5.5065219927730997E-5</v>
      </c>
      <c r="P16" s="2">
        <f t="shared" si="6"/>
        <v>45.259526666210839</v>
      </c>
      <c r="Q16" s="1">
        <v>-8.6906654561757902E-5</v>
      </c>
      <c r="R16" s="2">
        <f t="shared" si="7"/>
        <v>65.061820760109882</v>
      </c>
      <c r="S16" s="1">
        <v>-5.5537717094342098E-5</v>
      </c>
      <c r="T16" s="2">
        <f t="shared" si="8"/>
        <v>45.647884292676515</v>
      </c>
      <c r="U16" s="1">
        <v>-8.7710541927639698E-5</v>
      </c>
      <c r="V16" s="2">
        <f t="shared" si="9"/>
        <v>65.66364320942705</v>
      </c>
    </row>
    <row r="17" spans="1:39">
      <c r="A17">
        <f t="shared" si="10"/>
        <v>665</v>
      </c>
      <c r="B17">
        <f t="shared" si="11"/>
        <v>730</v>
      </c>
      <c r="C17" s="2">
        <v>-5.20397044530105E-5</v>
      </c>
      <c r="D17" s="2">
        <f t="shared" si="0"/>
        <v>42.708457378532103</v>
      </c>
      <c r="E17" s="1">
        <v>-8.10757653945353E-5</v>
      </c>
      <c r="F17" s="2">
        <f t="shared" si="1"/>
        <v>60.613436355022436</v>
      </c>
      <c r="G17" s="1">
        <v>-5.2506750626669499E-5</v>
      </c>
      <c r="H17" s="2">
        <f t="shared" si="2"/>
        <v>43.091757433964453</v>
      </c>
      <c r="I17" s="1">
        <v>-8.1860936980143802E-5</v>
      </c>
      <c r="J17" s="2">
        <f t="shared" si="3"/>
        <v>61.200442197032778</v>
      </c>
      <c r="K17" s="1">
        <v>-5.2970570374547902E-5</v>
      </c>
      <c r="L17" s="2">
        <f t="shared" si="4"/>
        <v>43.472409594498394</v>
      </c>
      <c r="M17" s="1">
        <v>-8.2640622615084199E-5</v>
      </c>
      <c r="N17" s="2">
        <f t="shared" si="5"/>
        <v>61.783346661522366</v>
      </c>
      <c r="O17" s="1">
        <v>-5.3434835712094501E-5</v>
      </c>
      <c r="P17" s="2">
        <f t="shared" si="6"/>
        <v>43.853427445951468</v>
      </c>
      <c r="Q17" s="1">
        <v>-8.3421740415622598E-5</v>
      </c>
      <c r="R17" s="2">
        <f t="shared" si="7"/>
        <v>62.367321834107052</v>
      </c>
      <c r="S17" s="1">
        <v>-5.3896625636985998E-5</v>
      </c>
      <c r="T17" s="2">
        <f t="shared" si="8"/>
        <v>44.232413751357413</v>
      </c>
      <c r="U17" s="1">
        <v>-8.4198827345210498E-5</v>
      </c>
      <c r="V17" s="2">
        <f t="shared" si="9"/>
        <v>62.948283468199392</v>
      </c>
    </row>
    <row r="18" spans="1:39">
      <c r="A18">
        <f t="shared" si="10"/>
        <v>666</v>
      </c>
      <c r="B18">
        <f t="shared" si="11"/>
        <v>731</v>
      </c>
      <c r="C18" s="1">
        <v>-5.0178844578298499E-5</v>
      </c>
      <c r="D18" s="2">
        <f t="shared" si="0"/>
        <v>41.119434825606838</v>
      </c>
      <c r="E18" s="1">
        <v>-7.7507167007942294E-5</v>
      </c>
      <c r="F18" s="2">
        <f t="shared" si="1"/>
        <v>57.866230830793647</v>
      </c>
      <c r="G18" s="1">
        <v>-5.0631622827322902E-5</v>
      </c>
      <c r="H18" s="2">
        <f t="shared" si="2"/>
        <v>41.490467396358049</v>
      </c>
      <c r="I18" s="1">
        <v>-7.8261372446531205E-5</v>
      </c>
      <c r="J18" s="2">
        <f t="shared" si="3"/>
        <v>58.429314577600621</v>
      </c>
      <c r="K18" s="1">
        <v>-5.1081324580236502E-5</v>
      </c>
      <c r="L18" s="2">
        <f t="shared" si="4"/>
        <v>41.858978909034235</v>
      </c>
      <c r="M18" s="1">
        <v>-7.9010410172872695E-5</v>
      </c>
      <c r="N18" s="2">
        <f t="shared" si="5"/>
        <v>58.988540151785372</v>
      </c>
      <c r="O18" s="1">
        <v>-5.1531511385520503E-5</v>
      </c>
      <c r="P18" s="2">
        <f t="shared" si="6"/>
        <v>42.227887901554752</v>
      </c>
      <c r="Q18" s="1">
        <v>-7.9760918882172997E-5</v>
      </c>
      <c r="R18" s="2">
        <f t="shared" si="7"/>
        <v>59.548863950079301</v>
      </c>
      <c r="S18" s="1">
        <v>-5.1979347097328403E-5</v>
      </c>
      <c r="T18" s="2">
        <f t="shared" si="8"/>
        <v>42.594870272691857</v>
      </c>
      <c r="U18" s="1">
        <v>-8.0507652963433398E-5</v>
      </c>
      <c r="V18" s="2">
        <f t="shared" si="9"/>
        <v>60.10636964127567</v>
      </c>
    </row>
    <row r="19" spans="1:39">
      <c r="A19">
        <f t="shared" si="10"/>
        <v>667</v>
      </c>
      <c r="B19">
        <f t="shared" si="11"/>
        <v>732</v>
      </c>
      <c r="C19" s="1">
        <v>-4.8134338314613402E-5</v>
      </c>
      <c r="D19" s="2">
        <f t="shared" si="0"/>
        <v>39.384912154316631</v>
      </c>
      <c r="E19" s="1">
        <v>-7.3873047416582693E-5</v>
      </c>
      <c r="F19" s="2">
        <f t="shared" si="1"/>
        <v>55.077680552610659</v>
      </c>
      <c r="G19" s="1">
        <v>-4.8570528540334598E-5</v>
      </c>
      <c r="H19" s="2">
        <f t="shared" si="2"/>
        <v>39.741815652403886</v>
      </c>
      <c r="I19" s="1">
        <v>-7.4594184519452206E-5</v>
      </c>
      <c r="J19" s="2">
        <f t="shared" si="3"/>
        <v>55.615340231958967</v>
      </c>
      <c r="K19" s="1">
        <v>-4.9003721628608098E-5</v>
      </c>
      <c r="L19" s="2">
        <f t="shared" si="4"/>
        <v>40.096266805674006</v>
      </c>
      <c r="M19" s="1">
        <v>-7.5310447476372805E-5</v>
      </c>
      <c r="N19" s="2">
        <f t="shared" si="5"/>
        <v>56.149365884244226</v>
      </c>
      <c r="O19" s="1">
        <v>-4.9437440348871199E-5</v>
      </c>
      <c r="P19" s="2">
        <f t="shared" si="6"/>
        <v>40.451148046288438</v>
      </c>
      <c r="Q19" s="1">
        <v>-7.6028178944764806E-5</v>
      </c>
      <c r="R19" s="2">
        <f t="shared" si="7"/>
        <v>56.684486417660551</v>
      </c>
      <c r="S19" s="1">
        <v>-4.9868957381930899E-5</v>
      </c>
      <c r="T19" s="2">
        <f t="shared" si="8"/>
        <v>40.804227802554422</v>
      </c>
      <c r="U19" s="1">
        <v>-7.6742365143306899E-5</v>
      </c>
      <c r="V19" s="2">
        <f t="shared" si="9"/>
        <v>57.216963696911854</v>
      </c>
    </row>
    <row r="20" spans="1:39">
      <c r="A20">
        <f t="shared" si="10"/>
        <v>668</v>
      </c>
      <c r="B20">
        <f t="shared" si="11"/>
        <v>733</v>
      </c>
      <c r="C20" s="1">
        <v>-4.5976056994927497E-5</v>
      </c>
      <c r="D20" s="2">
        <f t="shared" si="0"/>
        <v>37.562627975198353</v>
      </c>
      <c r="E20" s="1">
        <v>-7.0251493325138703E-5</v>
      </c>
      <c r="F20" s="2">
        <f t="shared" si="1"/>
        <v>52.306094574712191</v>
      </c>
      <c r="G20" s="1">
        <v>-4.6393980705419198E-5</v>
      </c>
      <c r="H20" s="2">
        <f t="shared" si="2"/>
        <v>37.904073368415666</v>
      </c>
      <c r="I20" s="1">
        <v>-7.0938606706997403E-5</v>
      </c>
      <c r="J20" s="2">
        <f t="shared" si="3"/>
        <v>52.817688219685863</v>
      </c>
      <c r="K20" s="1">
        <v>-4.6809061236788201E-5</v>
      </c>
      <c r="L20" s="2">
        <f t="shared" si="4"/>
        <v>38.243195872576507</v>
      </c>
      <c r="M20" s="1">
        <v>-7.1621116715509406E-5</v>
      </c>
      <c r="N20" s="2">
        <f t="shared" si="5"/>
        <v>53.325854400413043</v>
      </c>
      <c r="O20" s="1">
        <v>-4.7224672926140897E-5</v>
      </c>
      <c r="P20" s="2">
        <f t="shared" si="6"/>
        <v>38.582752334998268</v>
      </c>
      <c r="Q20" s="1">
        <v>-7.2305063222964902E-5</v>
      </c>
      <c r="R20" s="2">
        <f t="shared" si="7"/>
        <v>53.835090133487611</v>
      </c>
      <c r="S20" s="1">
        <v>-4.7638200536156501E-5</v>
      </c>
      <c r="T20" s="2">
        <f t="shared" si="8"/>
        <v>38.920606096015725</v>
      </c>
      <c r="U20" s="1">
        <v>-7.2985670689361694E-5</v>
      </c>
      <c r="V20" s="2">
        <f t="shared" si="9"/>
        <v>54.34183976713372</v>
      </c>
    </row>
    <row r="21" spans="1:39">
      <c r="A21">
        <f t="shared" si="10"/>
        <v>669</v>
      </c>
      <c r="B21">
        <f t="shared" si="11"/>
        <v>734</v>
      </c>
      <c r="C21" s="1">
        <v>-4.3766348098487102E-5</v>
      </c>
      <c r="D21" s="2">
        <f t="shared" si="0"/>
        <v>35.703837844286838</v>
      </c>
      <c r="E21" s="1">
        <v>-6.6700933131681105E-5</v>
      </c>
      <c r="F21" s="2">
        <f t="shared" si="1"/>
        <v>49.594847443026886</v>
      </c>
      <c r="G21" s="1">
        <v>-4.4165059093184401E-5</v>
      </c>
      <c r="H21" s="2">
        <f t="shared" si="2"/>
        <v>36.029099450975444</v>
      </c>
      <c r="I21" s="1">
        <v>-6.7353959903667895E-5</v>
      </c>
      <c r="J21" s="2">
        <f t="shared" si="3"/>
        <v>50.080399317825382</v>
      </c>
      <c r="K21" s="1">
        <v>-4.4561076907570802E-5</v>
      </c>
      <c r="L21" s="2">
        <f t="shared" si="4"/>
        <v>36.352164007252412</v>
      </c>
      <c r="M21" s="1">
        <v>-6.8002592776494195E-5</v>
      </c>
      <c r="N21" s="2">
        <f t="shared" si="5"/>
        <v>50.562684150495485</v>
      </c>
      <c r="O21" s="1">
        <v>-4.4957620055408599E-5</v>
      </c>
      <c r="P21" s="2">
        <f t="shared" si="6"/>
        <v>36.675657121569458</v>
      </c>
      <c r="Q21" s="1">
        <v>-6.8652686244412905E-5</v>
      </c>
      <c r="R21" s="2">
        <f t="shared" si="7"/>
        <v>51.046054994820643</v>
      </c>
      <c r="S21" s="1">
        <v>-4.5352191727105297E-5</v>
      </c>
      <c r="T21" s="2">
        <f t="shared" si="8"/>
        <v>36.997541939386714</v>
      </c>
      <c r="U21" s="1">
        <v>-6.9299564615934303E-5</v>
      </c>
      <c r="V21" s="2">
        <f t="shared" si="9"/>
        <v>51.5270352846535</v>
      </c>
    </row>
    <row r="22" spans="1:39">
      <c r="A22">
        <f t="shared" si="10"/>
        <v>670</v>
      </c>
      <c r="B22">
        <f t="shared" si="11"/>
        <v>735</v>
      </c>
      <c r="C22" s="1">
        <v>-4.15542002351399E-5</v>
      </c>
      <c r="D22" s="2">
        <f t="shared" si="0"/>
        <v>33.848609642817991</v>
      </c>
      <c r="E22" s="1">
        <v>-6.3265732425078105E-5</v>
      </c>
      <c r="F22" s="2">
        <f t="shared" si="1"/>
        <v>46.976635609083758</v>
      </c>
      <c r="G22" s="1">
        <v>-4.1933283861450899E-5</v>
      </c>
      <c r="H22" s="2">
        <f t="shared" si="2"/>
        <v>34.157398011174898</v>
      </c>
      <c r="I22" s="1">
        <v>-6.3885250274646198E-5</v>
      </c>
      <c r="J22" s="2">
        <f t="shared" si="3"/>
        <v>47.436645525304172</v>
      </c>
      <c r="K22" s="1">
        <v>-4.2309751126869102E-5</v>
      </c>
      <c r="L22" s="2">
        <f t="shared" si="4"/>
        <v>34.464055182732345</v>
      </c>
      <c r="M22" s="1">
        <v>-6.4500607955038304E-5</v>
      </c>
      <c r="N22" s="2">
        <f t="shared" si="5"/>
        <v>47.893566395623097</v>
      </c>
      <c r="O22" s="1">
        <v>-4.2686905045029403E-5</v>
      </c>
      <c r="P22" s="2">
        <f t="shared" si="6"/>
        <v>34.771271677787688</v>
      </c>
      <c r="Q22" s="1">
        <v>-6.5117357171267599E-5</v>
      </c>
      <c r="R22" s="2">
        <f t="shared" si="7"/>
        <v>48.351520521536401</v>
      </c>
      <c r="S22" s="1">
        <v>-4.30620577242341E-5</v>
      </c>
      <c r="T22" s="2">
        <f t="shared" si="8"/>
        <v>35.076858033029794</v>
      </c>
      <c r="U22" s="1">
        <v>-6.5731063722139203E-5</v>
      </c>
      <c r="V22" s="2">
        <f t="shared" si="9"/>
        <v>48.807215380445122</v>
      </c>
    </row>
    <row r="23" spans="1:39">
      <c r="A23">
        <f t="shared" si="10"/>
        <v>671</v>
      </c>
      <c r="B23">
        <f t="shared" si="11"/>
        <v>736</v>
      </c>
      <c r="C23" s="1">
        <v>-3.9380382933561602E-5</v>
      </c>
      <c r="D23" s="2">
        <f t="shared" si="0"/>
        <v>32.030087396576278</v>
      </c>
      <c r="E23" s="1">
        <v>-5.9973978691489501E-5</v>
      </c>
      <c r="F23" s="2">
        <f t="shared" si="1"/>
        <v>44.471907286877581</v>
      </c>
      <c r="G23" s="1">
        <v>-3.9739932802781998E-5</v>
      </c>
      <c r="H23" s="2">
        <f t="shared" si="2"/>
        <v>32.322527766036018</v>
      </c>
      <c r="I23" s="1">
        <v>-6.0561029691584801E-5</v>
      </c>
      <c r="J23" s="2">
        <f t="shared" si="3"/>
        <v>44.90721736999221</v>
      </c>
      <c r="K23" s="1">
        <v>-4.0097007248679297E-5</v>
      </c>
      <c r="L23" s="2">
        <f t="shared" si="4"/>
        <v>32.612954746608303</v>
      </c>
      <c r="M23" s="1">
        <v>-6.1144137025123394E-5</v>
      </c>
      <c r="N23" s="2">
        <f t="shared" si="5"/>
        <v>45.339603145310235</v>
      </c>
      <c r="O23" s="1">
        <v>-4.0454738915088597E-5</v>
      </c>
      <c r="P23" s="2">
        <f t="shared" si="6"/>
        <v>32.903916278367497</v>
      </c>
      <c r="Q23" s="1">
        <v>-6.1728559866805995E-5</v>
      </c>
      <c r="R23" s="2">
        <f t="shared" si="7"/>
        <v>45.772964396284408</v>
      </c>
      <c r="S23" s="1">
        <v>-4.08105774473279E-5</v>
      </c>
      <c r="T23" s="2">
        <f t="shared" si="8"/>
        <v>33.193338026904655</v>
      </c>
      <c r="U23" s="1">
        <v>-6.2310097882404403E-5</v>
      </c>
      <c r="V23" s="2">
        <f t="shared" si="9"/>
        <v>46.204186490895204</v>
      </c>
    </row>
    <row r="24" spans="1:39">
      <c r="A24">
        <f t="shared" si="10"/>
        <v>672</v>
      </c>
      <c r="B24">
        <f t="shared" si="11"/>
        <v>737</v>
      </c>
      <c r="C24" s="1">
        <v>-3.72721631575931E-5</v>
      </c>
      <c r="D24" s="2">
        <f t="shared" si="0"/>
        <v>30.27025185897082</v>
      </c>
      <c r="E24" s="1">
        <v>-5.6843382696953498E-5</v>
      </c>
      <c r="F24" s="2">
        <f t="shared" si="1"/>
        <v>42.093315603999635</v>
      </c>
      <c r="G24" s="1">
        <v>-3.7612636767179402E-5</v>
      </c>
      <c r="H24" s="2">
        <f t="shared" si="2"/>
        <v>30.546764436733849</v>
      </c>
      <c r="I24" s="1">
        <v>-5.73992316909991E-5</v>
      </c>
      <c r="J24" s="2">
        <f t="shared" si="3"/>
        <v>42.5049295161988</v>
      </c>
      <c r="K24" s="1">
        <v>-3.7950736090031797E-5</v>
      </c>
      <c r="L24" s="2">
        <f t="shared" si="4"/>
        <v>30.821348758894516</v>
      </c>
      <c r="M24" s="1">
        <v>-5.7951468524525202E-5</v>
      </c>
      <c r="N24" s="2">
        <f t="shared" si="5"/>
        <v>42.9138685732865</v>
      </c>
      <c r="O24" s="1">
        <v>-3.8289418042603103E-5</v>
      </c>
      <c r="P24" s="2">
        <f t="shared" si="6"/>
        <v>31.096406258537726</v>
      </c>
      <c r="Q24" s="1">
        <v>-5.85048435493318E-5</v>
      </c>
      <c r="R24" s="2">
        <f t="shared" si="7"/>
        <v>43.323650476850162</v>
      </c>
      <c r="S24" s="1">
        <v>-3.8626260443540302E-5</v>
      </c>
      <c r="T24" s="2">
        <f t="shared" si="8"/>
        <v>31.36996978287727</v>
      </c>
      <c r="U24" s="1">
        <v>-5.9055646975896403E-5</v>
      </c>
      <c r="V24" s="2">
        <f t="shared" si="9"/>
        <v>43.731528076143547</v>
      </c>
    </row>
    <row r="25" spans="1:39">
      <c r="A25">
        <f t="shared" si="10"/>
        <v>673</v>
      </c>
      <c r="B25">
        <f t="shared" si="11"/>
        <v>738</v>
      </c>
      <c r="C25" s="1">
        <v>-3.5249755763506899E-5</v>
      </c>
      <c r="D25" s="2">
        <f t="shared" si="0"/>
        <v>28.585234344422485</v>
      </c>
      <c r="E25" s="1">
        <v>-5.3884378794364501E-5</v>
      </c>
      <c r="F25" s="2">
        <f t="shared" si="1"/>
        <v>39.848064123452083</v>
      </c>
      <c r="G25" s="1">
        <v>-3.5571727403215497E-5</v>
      </c>
      <c r="H25" s="2">
        <f t="shared" si="2"/>
        <v>28.846332175428071</v>
      </c>
      <c r="I25" s="1">
        <v>-5.4410642426387799E-5</v>
      </c>
      <c r="J25" s="2">
        <f t="shared" si="3"/>
        <v>40.237241607240733</v>
      </c>
      <c r="K25" s="1">
        <v>-3.5891453196803801E-5</v>
      </c>
      <c r="L25" s="2">
        <f t="shared" si="4"/>
        <v>29.10560877288864</v>
      </c>
      <c r="M25" s="1">
        <v>-5.4933473110283701E-5</v>
      </c>
      <c r="N25" s="2">
        <f t="shared" si="5"/>
        <v>40.62388038982926</v>
      </c>
      <c r="O25" s="1">
        <v>-3.62117282469032E-5</v>
      </c>
      <c r="P25" s="2">
        <f t="shared" si="6"/>
        <v>29.365330781267517</v>
      </c>
      <c r="Q25" s="1">
        <v>-5.5457366786164701E-5</v>
      </c>
      <c r="R25" s="2">
        <f t="shared" si="7"/>
        <v>41.011305266156505</v>
      </c>
      <c r="S25" s="1">
        <v>-3.6530262836719902E-5</v>
      </c>
      <c r="T25" s="2">
        <f t="shared" si="8"/>
        <v>29.623641390787871</v>
      </c>
      <c r="U25" s="1">
        <v>-5.5978814991001997E-5</v>
      </c>
      <c r="V25" s="2">
        <f t="shared" si="9"/>
        <v>41.396921690959545</v>
      </c>
    </row>
    <row r="26" spans="1:39">
      <c r="A26">
        <f t="shared" si="10"/>
        <v>674</v>
      </c>
      <c r="B26">
        <f t="shared" si="11"/>
        <v>739</v>
      </c>
      <c r="C26" s="1">
        <v>-3.3326363471521902E-5</v>
      </c>
      <c r="D26" s="2">
        <f t="shared" si="0"/>
        <v>26.985392488006202</v>
      </c>
      <c r="E26" s="1">
        <v>-5.1099982505468002E-5</v>
      </c>
      <c r="F26" s="2">
        <f t="shared" si="1"/>
        <v>37.73783853776191</v>
      </c>
      <c r="G26" s="1">
        <v>-3.3630607011889898E-5</v>
      </c>
      <c r="H26" s="2">
        <f t="shared" si="2"/>
        <v>27.231747940373115</v>
      </c>
      <c r="I26" s="1">
        <v>-5.1598288054545003E-5</v>
      </c>
      <c r="J26" s="2">
        <f t="shared" si="3"/>
        <v>38.105842075757771</v>
      </c>
      <c r="K26" s="1">
        <v>-3.3932796603747802E-5</v>
      </c>
      <c r="L26" s="2">
        <f t="shared" si="4"/>
        <v>27.476440246782253</v>
      </c>
      <c r="M26" s="1">
        <v>-5.2093327213932E-5</v>
      </c>
      <c r="N26" s="2">
        <f t="shared" si="5"/>
        <v>38.471433352913621</v>
      </c>
      <c r="O26" s="1">
        <v>-3.4235449137840201E-5</v>
      </c>
      <c r="P26" s="2">
        <f t="shared" si="6"/>
        <v>27.721507411909709</v>
      </c>
      <c r="Q26" s="1">
        <v>-5.2589355137134301E-5</v>
      </c>
      <c r="R26" s="2">
        <f t="shared" si="7"/>
        <v>38.837754841850078</v>
      </c>
      <c r="S26" s="1">
        <v>-3.4536489715231301E-5</v>
      </c>
      <c r="T26" s="2">
        <f t="shared" si="8"/>
        <v>27.96526932558675</v>
      </c>
      <c r="U26" s="1">
        <v>-5.3083054024317497E-5</v>
      </c>
      <c r="V26" s="2">
        <f t="shared" si="9"/>
        <v>39.202356314830979</v>
      </c>
    </row>
    <row r="27" spans="1:39">
      <c r="A27">
        <f t="shared" si="10"/>
        <v>675</v>
      </c>
      <c r="B27">
        <f t="shared" si="11"/>
        <v>740</v>
      </c>
      <c r="C27" s="1">
        <v>-3.1507563498676203E-5</v>
      </c>
      <c r="D27" s="2">
        <f t="shared" si="0"/>
        <v>25.474857086812264</v>
      </c>
      <c r="E27" s="1">
        <v>-4.8490038855374198E-5</v>
      </c>
      <c r="F27" s="2">
        <f t="shared" si="1"/>
        <v>35.761977148838561</v>
      </c>
      <c r="G27" s="1">
        <v>-3.1795006628639501E-5</v>
      </c>
      <c r="H27" s="2">
        <f t="shared" si="2"/>
        <v>25.707263907374845</v>
      </c>
      <c r="I27" s="1">
        <v>-4.8962088826752502E-5</v>
      </c>
      <c r="J27" s="2">
        <f t="shared" si="3"/>
        <v>36.110119585677829</v>
      </c>
      <c r="K27" s="1">
        <v>-3.2080504913182097E-5</v>
      </c>
      <c r="L27" s="2">
        <f t="shared" si="4"/>
        <v>25.938098259182414</v>
      </c>
      <c r="M27" s="1">
        <v>-4.9430983088037801E-5</v>
      </c>
      <c r="N27" s="2">
        <f t="shared" si="5"/>
        <v>36.455934649000831</v>
      </c>
      <c r="O27" s="1">
        <v>-3.2366435283813403E-5</v>
      </c>
      <c r="P27" s="2">
        <f t="shared" si="6"/>
        <v>26.169281966196692</v>
      </c>
      <c r="Q27" s="1">
        <v>-4.9900854695267197E-5</v>
      </c>
      <c r="R27" s="2">
        <f t="shared" si="7"/>
        <v>36.802470516516706</v>
      </c>
      <c r="S27" s="1">
        <v>-3.2650837459897999E-5</v>
      </c>
      <c r="T27" s="2">
        <f t="shared" si="8"/>
        <v>26.399230079805601</v>
      </c>
      <c r="U27" s="1">
        <v>-5.0368331623973897E-5</v>
      </c>
      <c r="V27" s="2">
        <f t="shared" si="9"/>
        <v>37.147240280300174</v>
      </c>
    </row>
    <row r="30" spans="1:39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9">
      <c r="N31" s="1"/>
      <c r="O31" s="1"/>
      <c r="P31" s="1"/>
      <c r="Q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4:39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5" spans="4:39"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4:39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4265-F0A5-49CE-9556-BFF01B649DEB}">
  <dimension ref="A1:JG220"/>
  <sheetViews>
    <sheetView workbookViewId="0">
      <selection sqref="A1:XFD1048576"/>
    </sheetView>
  </sheetViews>
  <sheetFormatPr defaultRowHeight="15"/>
  <cols>
    <col min="1" max="1" width="13.85546875" customWidth="1"/>
    <col min="2" max="2" width="13.5703125" customWidth="1"/>
    <col min="3" max="3" width="12.42578125" style="2" customWidth="1"/>
    <col min="4" max="4" width="12.7109375" customWidth="1"/>
    <col min="6" max="6" width="9.28515625" style="2" bestFit="1" customWidth="1"/>
    <col min="7" max="7" width="11.5703125" customWidth="1"/>
    <col min="8" max="8" width="10" customWidth="1"/>
    <col min="9" max="9" width="9.28515625" style="2" bestFit="1" customWidth="1"/>
    <col min="10" max="10" width="10.7109375" customWidth="1"/>
    <col min="12" max="12" width="9.28515625" style="2" bestFit="1" customWidth="1"/>
  </cols>
  <sheetData>
    <row r="1" spans="1:242">
      <c r="A1" t="s">
        <v>0</v>
      </c>
      <c r="B1" t="s">
        <v>1</v>
      </c>
      <c r="C1" s="2" t="s">
        <v>2</v>
      </c>
      <c r="D1" t="s">
        <v>0</v>
      </c>
      <c r="E1" t="s">
        <v>159</v>
      </c>
      <c r="F1" s="2" t="s">
        <v>160</v>
      </c>
      <c r="G1" t="s">
        <v>0</v>
      </c>
      <c r="H1" t="s">
        <v>5</v>
      </c>
      <c r="I1" s="2" t="s">
        <v>6</v>
      </c>
      <c r="J1" t="s">
        <v>0</v>
      </c>
      <c r="K1" t="s">
        <v>7</v>
      </c>
      <c r="L1" s="2" t="s">
        <v>8</v>
      </c>
    </row>
    <row r="2" spans="1:242">
      <c r="A2">
        <v>600</v>
      </c>
      <c r="B2" s="1">
        <v>-3.3380000000000001E-6</v>
      </c>
      <c r="C2" s="2">
        <f>-8.686*2*3.1416*(B2)/((A2)*10^-7)</f>
        <v>3.0362378569600001</v>
      </c>
      <c r="D2">
        <v>600</v>
      </c>
      <c r="E2" s="1">
        <v>-1.776E-6</v>
      </c>
      <c r="F2" s="2">
        <f>-8.686*2*3.1416*(E2)/((D2)*10^-7)</f>
        <v>1.6154459059200001</v>
      </c>
      <c r="G2">
        <v>600</v>
      </c>
      <c r="H2" s="1">
        <v>-2.4401999999999999E-6</v>
      </c>
      <c r="I2" s="2">
        <f>-8.686*2*3.1416*(H2)/((G2)*10^-7)</f>
        <v>2.2196008443840003</v>
      </c>
      <c r="J2">
        <v>600</v>
      </c>
      <c r="K2" s="1">
        <v>-1.4729999999999999E-6</v>
      </c>
      <c r="L2" s="2">
        <f>-8.686*2*3.1416*(K2)/((J2)*10^-7)</f>
        <v>1.33983773616</v>
      </c>
    </row>
    <row r="3" spans="1:242">
      <c r="A3">
        <f>A2+5</f>
        <v>605</v>
      </c>
      <c r="B3" s="1">
        <v>-3.7457E-6</v>
      </c>
      <c r="C3" s="2">
        <f t="shared" ref="C3:C66" si="0">-8.686*2*3.1416*(B3)/((A3)*10^-7)</f>
        <v>3.3789232353163636</v>
      </c>
      <c r="D3">
        <f>D2+5</f>
        <v>605</v>
      </c>
      <c r="E3" s="1">
        <v>-1.8020000000000001E-6</v>
      </c>
      <c r="F3" s="2">
        <f t="shared" ref="F3:F66" si="1">-8.686*2*3.1416*(E3)/((D3)*10^-7)</f>
        <v>1.6255492084363636</v>
      </c>
      <c r="G3">
        <f>G2+5</f>
        <v>605</v>
      </c>
      <c r="H3" s="1">
        <v>-2.6006000000000001E-6</v>
      </c>
      <c r="I3" s="2">
        <f t="shared" ref="I3:I66" si="2">-8.686*2*3.1416*(H3)/((G3)*10^-7)</f>
        <v>2.3459507610763639</v>
      </c>
      <c r="J3">
        <f>J2+5</f>
        <v>605</v>
      </c>
      <c r="K3" s="1">
        <v>-1.4573E-6</v>
      </c>
      <c r="L3" s="2">
        <f t="shared" ref="L3:L66" si="3">-8.686*2*3.1416*(K3)/((J3)*10^-7)</f>
        <v>1.3146020318836364</v>
      </c>
    </row>
    <row r="4" spans="1:242">
      <c r="A4">
        <f t="shared" ref="A4:A9" si="4">A3+5</f>
        <v>610</v>
      </c>
      <c r="B4" s="1">
        <v>-4.2942999999999997E-6</v>
      </c>
      <c r="C4" s="2">
        <f t="shared" si="0"/>
        <v>3.842052145432131</v>
      </c>
      <c r="D4">
        <f t="shared" ref="D4:D16" si="5">D3+5</f>
        <v>610</v>
      </c>
      <c r="E4" s="1">
        <v>-1.8359000000000001E-6</v>
      </c>
      <c r="F4" s="2">
        <f t="shared" si="1"/>
        <v>1.6425549062242624</v>
      </c>
      <c r="G4">
        <f t="shared" ref="G4:G13" si="6">G3+5</f>
        <v>610</v>
      </c>
      <c r="H4" s="1">
        <v>-2.8059000000000001E-6</v>
      </c>
      <c r="I4" s="2">
        <f t="shared" si="2"/>
        <v>2.5104007905521315</v>
      </c>
      <c r="J4">
        <f t="shared" ref="J4:J44" si="7">J3+5</f>
        <v>610</v>
      </c>
      <c r="K4" s="1">
        <v>-1.4418999999999999E-6</v>
      </c>
      <c r="L4" s="2">
        <f t="shared" si="3"/>
        <v>1.2900484336209836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</row>
    <row r="5" spans="1:242">
      <c r="A5">
        <f t="shared" si="4"/>
        <v>615</v>
      </c>
      <c r="B5" s="1">
        <v>-5.0497000000000001E-6</v>
      </c>
      <c r="C5" s="2">
        <f t="shared" si="0"/>
        <v>4.4811674308526834</v>
      </c>
      <c r="D5">
        <f t="shared" si="5"/>
        <v>615</v>
      </c>
      <c r="E5" s="1">
        <v>-1.8792999999999999E-6</v>
      </c>
      <c r="F5" s="2">
        <f t="shared" si="1"/>
        <v>1.6677145083473173</v>
      </c>
      <c r="G5">
        <f t="shared" si="6"/>
        <v>615</v>
      </c>
      <c r="H5" s="1">
        <v>-3.072E-6</v>
      </c>
      <c r="I5" s="2">
        <f t="shared" si="2"/>
        <v>2.7261315221853661</v>
      </c>
      <c r="J5">
        <f t="shared" si="7"/>
        <v>615</v>
      </c>
      <c r="K5" s="1">
        <v>-1.4269000000000001E-6</v>
      </c>
      <c r="L5" s="2">
        <f t="shared" si="3"/>
        <v>1.266249045900488</v>
      </c>
    </row>
    <row r="6" spans="1:242">
      <c r="A6">
        <f t="shared" si="4"/>
        <v>620</v>
      </c>
      <c r="B6" s="1">
        <v>-6.0487000000000002E-6</v>
      </c>
      <c r="C6" s="2">
        <f t="shared" si="0"/>
        <v>5.3244047793909672</v>
      </c>
      <c r="D6">
        <f t="shared" si="5"/>
        <v>620</v>
      </c>
      <c r="E6" s="1">
        <v>-1.9454E-6</v>
      </c>
      <c r="F6" s="2">
        <f t="shared" si="1"/>
        <v>1.7124501228077418</v>
      </c>
      <c r="G6">
        <f t="shared" si="6"/>
        <v>620</v>
      </c>
      <c r="H6" s="1">
        <v>-3.4137E-6</v>
      </c>
      <c r="I6" s="2">
        <f t="shared" si="2"/>
        <v>3.0049300833909673</v>
      </c>
      <c r="J6">
        <f t="shared" si="7"/>
        <v>620</v>
      </c>
      <c r="K6" s="1">
        <v>-1.4252999999999999E-6</v>
      </c>
      <c r="L6" s="2">
        <f t="shared" si="3"/>
        <v>1.2546289503638708</v>
      </c>
    </row>
    <row r="7" spans="1:242">
      <c r="A7">
        <f t="shared" si="4"/>
        <v>625</v>
      </c>
      <c r="B7" s="1">
        <v>-7.3938000000000003E-6</v>
      </c>
      <c r="C7" s="2">
        <f t="shared" si="0"/>
        <v>6.4563696968601594</v>
      </c>
      <c r="D7">
        <f t="shared" si="5"/>
        <v>625</v>
      </c>
      <c r="E7" s="1">
        <v>-2.0318000000000002E-6</v>
      </c>
      <c r="F7" s="2">
        <f t="shared" si="1"/>
        <v>1.77419621170176</v>
      </c>
      <c r="G7">
        <f t="shared" si="6"/>
        <v>625</v>
      </c>
      <c r="H7" s="1">
        <v>-3.8484000000000003E-6</v>
      </c>
      <c r="I7" s="2">
        <f t="shared" si="2"/>
        <v>3.3604767699148801</v>
      </c>
      <c r="J7">
        <f t="shared" si="7"/>
        <v>625</v>
      </c>
      <c r="K7" s="1">
        <v>-1.4326000000000001E-6</v>
      </c>
      <c r="L7" s="2">
        <f t="shared" si="3"/>
        <v>1.2509663809843201</v>
      </c>
    </row>
    <row r="8" spans="1:242">
      <c r="A8">
        <f t="shared" si="4"/>
        <v>630</v>
      </c>
      <c r="B8" s="1">
        <v>-9.3048999999999996E-6</v>
      </c>
      <c r="C8" s="2">
        <f t="shared" si="0"/>
        <v>8.0606835102933321</v>
      </c>
      <c r="D8">
        <f t="shared" si="5"/>
        <v>630</v>
      </c>
      <c r="E8" s="1">
        <v>-2.1353000000000001E-6</v>
      </c>
      <c r="F8" s="2">
        <f t="shared" si="1"/>
        <v>1.8497756557866667</v>
      </c>
      <c r="G8">
        <f t="shared" si="6"/>
        <v>630</v>
      </c>
      <c r="H8" s="1">
        <v>-4.4136000000000004E-6</v>
      </c>
      <c r="I8" s="2">
        <f t="shared" si="2"/>
        <v>3.8234298854400004</v>
      </c>
      <c r="J8">
        <f t="shared" si="7"/>
        <v>630</v>
      </c>
      <c r="K8" s="1">
        <v>-1.4416000000000001E-6</v>
      </c>
      <c r="L8" s="2">
        <f t="shared" si="3"/>
        <v>1.2488346299733335</v>
      </c>
    </row>
    <row r="9" spans="1:242">
      <c r="A9">
        <v>631</v>
      </c>
      <c r="B9" s="1">
        <v>-9.7803000000000002E-6</v>
      </c>
      <c r="C9" s="2">
        <f t="shared" si="0"/>
        <v>8.4590876738282095</v>
      </c>
      <c r="D9">
        <f t="shared" si="5"/>
        <v>635</v>
      </c>
      <c r="E9" s="1">
        <v>-2.2599000000000002E-6</v>
      </c>
      <c r="F9" s="2">
        <f t="shared" si="1"/>
        <v>1.9422995332988977</v>
      </c>
      <c r="G9">
        <f t="shared" si="6"/>
        <v>635</v>
      </c>
      <c r="H9" s="1">
        <v>-5.1636E-6</v>
      </c>
      <c r="I9" s="2">
        <f t="shared" si="2"/>
        <v>4.4379210894916534</v>
      </c>
      <c r="J9">
        <f t="shared" si="7"/>
        <v>635</v>
      </c>
      <c r="K9" s="1">
        <v>-1.4522E-6</v>
      </c>
      <c r="L9" s="2">
        <f t="shared" si="3"/>
        <v>1.2481115900069293</v>
      </c>
    </row>
    <row r="10" spans="1:242">
      <c r="A10">
        <f>A9+1</f>
        <v>632</v>
      </c>
      <c r="B10" s="1">
        <v>-1.0294E-5</v>
      </c>
      <c r="C10" s="2">
        <f t="shared" si="0"/>
        <v>8.8893047358987349</v>
      </c>
      <c r="D10">
        <f t="shared" si="5"/>
        <v>640</v>
      </c>
      <c r="E10" s="1">
        <v>-2.4115000000000001E-6</v>
      </c>
      <c r="F10" s="2">
        <f t="shared" si="1"/>
        <v>2.0564019225750001</v>
      </c>
      <c r="G10">
        <f t="shared" si="6"/>
        <v>640</v>
      </c>
      <c r="H10" s="1">
        <v>-6.1824999999999997E-6</v>
      </c>
      <c r="I10" s="2">
        <f t="shared" si="2"/>
        <v>5.272114819125</v>
      </c>
      <c r="J10">
        <f t="shared" si="7"/>
        <v>640</v>
      </c>
      <c r="K10" s="1">
        <v>-1.4654E-6</v>
      </c>
      <c r="L10" s="2">
        <f t="shared" si="3"/>
        <v>1.24961699247</v>
      </c>
    </row>
    <row r="11" spans="1:242">
      <c r="A11">
        <f t="shared" ref="A11:A26" si="8">A10+1</f>
        <v>633</v>
      </c>
      <c r="B11" s="1">
        <v>-1.0849999999999999E-5</v>
      </c>
      <c r="C11" s="2">
        <f t="shared" si="0"/>
        <v>9.3546326369668247</v>
      </c>
      <c r="D11">
        <f t="shared" si="5"/>
        <v>645</v>
      </c>
      <c r="E11" s="1">
        <v>-2.5971000000000001E-6</v>
      </c>
      <c r="F11" s="2">
        <f t="shared" si="1"/>
        <v>2.1975039609600002</v>
      </c>
      <c r="G11">
        <f t="shared" si="6"/>
        <v>645</v>
      </c>
      <c r="H11" s="1">
        <v>-7.6073E-6</v>
      </c>
      <c r="I11" s="2">
        <f t="shared" si="2"/>
        <v>6.4368225644799999</v>
      </c>
      <c r="J11">
        <f t="shared" si="7"/>
        <v>645</v>
      </c>
      <c r="K11" s="1">
        <v>-1.4823E-6</v>
      </c>
      <c r="L11" s="2">
        <f t="shared" si="3"/>
        <v>1.25422976448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</row>
    <row r="12" spans="1:242">
      <c r="A12">
        <f t="shared" si="8"/>
        <v>634</v>
      </c>
      <c r="B12" s="1">
        <v>-1.1453E-5</v>
      </c>
      <c r="C12" s="2">
        <f t="shared" si="0"/>
        <v>9.8589510830536273</v>
      </c>
      <c r="D12">
        <f t="shared" si="5"/>
        <v>650</v>
      </c>
      <c r="E12" s="1">
        <v>-2.8256000000000001E-6</v>
      </c>
      <c r="F12" s="2">
        <f t="shared" si="1"/>
        <v>2.3724552763864617</v>
      </c>
      <c r="G12">
        <f>G11+5</f>
        <v>650</v>
      </c>
      <c r="H12" s="1">
        <v>-9.6706000000000002E-6</v>
      </c>
      <c r="I12" s="2">
        <f t="shared" si="2"/>
        <v>8.1197147493710773</v>
      </c>
      <c r="J12">
        <f t="shared" si="7"/>
        <v>650</v>
      </c>
      <c r="K12" s="1">
        <v>-1.5017E-6</v>
      </c>
      <c r="L12" s="2">
        <f t="shared" si="3"/>
        <v>1.2608706428898462</v>
      </c>
    </row>
    <row r="13" spans="1:242">
      <c r="A13">
        <f t="shared" si="8"/>
        <v>635</v>
      </c>
      <c r="B13" s="1">
        <v>-1.2106000000000001E-5</v>
      </c>
      <c r="C13" s="2">
        <f t="shared" si="0"/>
        <v>10.404654254664568</v>
      </c>
      <c r="D13">
        <f t="shared" si="5"/>
        <v>655</v>
      </c>
      <c r="E13" s="1">
        <v>-3.1118E-6</v>
      </c>
      <c r="F13" s="2">
        <f t="shared" si="1"/>
        <v>2.5928123427077865</v>
      </c>
      <c r="G13">
        <f t="shared" si="6"/>
        <v>655</v>
      </c>
      <c r="H13" s="1">
        <v>-1.2787E-5</v>
      </c>
      <c r="I13" s="2">
        <f t="shared" si="2"/>
        <v>10.654377346296185</v>
      </c>
      <c r="J13">
        <f t="shared" si="7"/>
        <v>655</v>
      </c>
      <c r="K13" s="1">
        <v>-1.5233000000000001E-6</v>
      </c>
      <c r="L13" s="2">
        <f t="shared" si="3"/>
        <v>1.2692432166741987</v>
      </c>
    </row>
    <row r="14" spans="1:242">
      <c r="A14">
        <f t="shared" si="8"/>
        <v>636</v>
      </c>
      <c r="B14" s="1">
        <v>-1.2816000000000001E-5</v>
      </c>
      <c r="C14" s="2">
        <f t="shared" si="0"/>
        <v>10.997553719547168</v>
      </c>
      <c r="D14">
        <f t="shared" si="5"/>
        <v>660</v>
      </c>
      <c r="E14" s="1">
        <v>-3.4873000000000001E-6</v>
      </c>
      <c r="F14" s="2">
        <f t="shared" si="1"/>
        <v>2.8836734785600004</v>
      </c>
      <c r="G14">
        <v>656</v>
      </c>
      <c r="H14" s="1">
        <v>-1.3594999999999999E-5</v>
      </c>
      <c r="I14" s="2">
        <f t="shared" si="2"/>
        <v>11.310350965609755</v>
      </c>
      <c r="J14">
        <f t="shared" si="7"/>
        <v>660</v>
      </c>
      <c r="K14" s="1">
        <v>-1.5579999999999999E-6</v>
      </c>
      <c r="L14" s="2">
        <f t="shared" si="3"/>
        <v>1.2883214176</v>
      </c>
    </row>
    <row r="15" spans="1:242">
      <c r="A15">
        <f t="shared" si="8"/>
        <v>637</v>
      </c>
      <c r="B15" s="1">
        <v>-1.3589E-5</v>
      </c>
      <c r="C15" s="2">
        <f t="shared" si="0"/>
        <v>11.642567787956043</v>
      </c>
      <c r="D15">
        <f>D14+5</f>
        <v>665</v>
      </c>
      <c r="E15" s="1">
        <v>-4.0895000000000004E-6</v>
      </c>
      <c r="F15" s="2">
        <f t="shared" si="1"/>
        <v>3.3562111523368419</v>
      </c>
      <c r="G15">
        <f>G14+1</f>
        <v>657</v>
      </c>
      <c r="H15" s="1">
        <v>-1.4483E-5</v>
      </c>
      <c r="I15" s="2">
        <f t="shared" si="2"/>
        <v>12.030782351926941</v>
      </c>
      <c r="J15">
        <f t="shared" si="7"/>
        <v>665</v>
      </c>
      <c r="K15" s="1">
        <v>-1.6692E-6</v>
      </c>
      <c r="L15" s="2">
        <f t="shared" si="3"/>
        <v>1.3698955020126315</v>
      </c>
    </row>
    <row r="16" spans="1:242">
      <c r="A16">
        <f t="shared" si="8"/>
        <v>638</v>
      </c>
      <c r="B16" s="1">
        <v>-1.4430000000000001E-5</v>
      </c>
      <c r="C16" s="2">
        <f t="shared" si="0"/>
        <v>12.34372851310345</v>
      </c>
      <c r="D16">
        <f t="shared" si="5"/>
        <v>670</v>
      </c>
      <c r="E16" s="1">
        <v>-4.8740999999999996E-6</v>
      </c>
      <c r="F16" s="2">
        <f t="shared" si="1"/>
        <v>3.9702727360047754</v>
      </c>
      <c r="G16">
        <f t="shared" ref="G16:G27" si="9">G15+1</f>
        <v>658</v>
      </c>
      <c r="H16" s="1">
        <v>-1.5461999999999999E-5</v>
      </c>
      <c r="I16" s="2">
        <f t="shared" si="2"/>
        <v>12.824501251404254</v>
      </c>
      <c r="J16">
        <f t="shared" si="7"/>
        <v>670</v>
      </c>
      <c r="K16" s="1">
        <v>-1.7955E-6</v>
      </c>
      <c r="L16" s="2">
        <f t="shared" si="3"/>
        <v>1.4625519988298508</v>
      </c>
    </row>
    <row r="17" spans="1:236">
      <c r="A17">
        <f t="shared" si="8"/>
        <v>639</v>
      </c>
      <c r="B17" s="1">
        <v>-1.5345999999999998E-5</v>
      </c>
      <c r="C17" s="2">
        <f t="shared" si="0"/>
        <v>13.106750873539905</v>
      </c>
      <c r="D17">
        <v>671</v>
      </c>
      <c r="E17" s="1">
        <v>-5.0594000000000002E-6</v>
      </c>
      <c r="F17" s="2">
        <f t="shared" si="1"/>
        <v>4.1150697911606562</v>
      </c>
      <c r="G17">
        <f t="shared" si="9"/>
        <v>659</v>
      </c>
      <c r="H17" s="1">
        <v>-1.6541999999999998E-5</v>
      </c>
      <c r="I17" s="2">
        <f t="shared" si="2"/>
        <v>13.699455653389983</v>
      </c>
      <c r="J17">
        <f t="shared" si="7"/>
        <v>675</v>
      </c>
      <c r="K17" s="1">
        <v>-1.9398999999999998E-6</v>
      </c>
      <c r="L17" s="2">
        <f t="shared" si="3"/>
        <v>1.5684702266737776</v>
      </c>
    </row>
    <row r="18" spans="1:236">
      <c r="A18">
        <f t="shared" si="8"/>
        <v>640</v>
      </c>
      <c r="B18" s="1">
        <v>-1.6347000000000001E-5</v>
      </c>
      <c r="C18" s="2">
        <f t="shared" si="0"/>
        <v>13.939872373350001</v>
      </c>
      <c r="D18">
        <f>D17+1</f>
        <v>672</v>
      </c>
      <c r="E18" s="1">
        <v>-5.2557000000000003E-6</v>
      </c>
      <c r="F18" s="2">
        <f t="shared" si="1"/>
        <v>4.2683694537000001</v>
      </c>
      <c r="G18">
        <f t="shared" si="9"/>
        <v>660</v>
      </c>
      <c r="H18" s="1">
        <v>-1.7717999999999999E-5</v>
      </c>
      <c r="I18" s="2">
        <f t="shared" si="2"/>
        <v>14.651141769600001</v>
      </c>
      <c r="J18">
        <f t="shared" si="7"/>
        <v>680</v>
      </c>
      <c r="K18" s="1">
        <v>-2.1119999999999999E-6</v>
      </c>
      <c r="L18" s="2">
        <f t="shared" si="3"/>
        <v>1.6950624767999998</v>
      </c>
    </row>
    <row r="19" spans="1:236">
      <c r="A19">
        <f t="shared" si="8"/>
        <v>641</v>
      </c>
      <c r="B19" s="1">
        <v>-1.7439E-5</v>
      </c>
      <c r="C19" s="2">
        <f t="shared" si="0"/>
        <v>14.847873441697349</v>
      </c>
      <c r="D19">
        <f t="shared" ref="D19:D68" si="10">D18+1</f>
        <v>673</v>
      </c>
      <c r="E19" s="1">
        <v>-5.4639999999999997E-6</v>
      </c>
      <c r="F19" s="2">
        <f t="shared" si="1"/>
        <v>4.4309447562080235</v>
      </c>
      <c r="G19">
        <f t="shared" si="9"/>
        <v>661</v>
      </c>
      <c r="H19" s="1">
        <v>-1.8987999999999998E-5</v>
      </c>
      <c r="I19" s="2">
        <f t="shared" si="2"/>
        <v>15.677560034759457</v>
      </c>
      <c r="J19">
        <f t="shared" si="7"/>
        <v>685</v>
      </c>
      <c r="K19" s="1">
        <v>-2.3205000000000001E-6</v>
      </c>
      <c r="L19" s="2">
        <f t="shared" si="3"/>
        <v>1.8488075679065694</v>
      </c>
    </row>
    <row r="20" spans="1:236">
      <c r="A20">
        <f t="shared" si="8"/>
        <v>642</v>
      </c>
      <c r="B20" s="1">
        <v>-1.8632000000000001E-5</v>
      </c>
      <c r="C20" s="2">
        <f t="shared" si="0"/>
        <v>15.838905089196261</v>
      </c>
      <c r="D20">
        <f t="shared" si="10"/>
        <v>674</v>
      </c>
      <c r="E20" s="1">
        <v>-5.6849000000000004E-6</v>
      </c>
      <c r="F20" s="2">
        <f t="shared" si="1"/>
        <v>4.6032402511050448</v>
      </c>
      <c r="G20">
        <f t="shared" si="9"/>
        <v>662</v>
      </c>
      <c r="H20" s="1">
        <v>-2.0373E-5</v>
      </c>
      <c r="I20" s="2">
        <f t="shared" si="2"/>
        <v>16.795684372350454</v>
      </c>
      <c r="J20">
        <f t="shared" si="7"/>
        <v>690</v>
      </c>
      <c r="K20" s="1">
        <v>-2.5697999999999999E-6</v>
      </c>
      <c r="L20" s="2">
        <f t="shared" si="3"/>
        <v>2.0325954215791304</v>
      </c>
    </row>
    <row r="21" spans="1:236">
      <c r="A21">
        <f>A20+1</f>
        <v>643</v>
      </c>
      <c r="B21" s="1">
        <v>-1.9936999999999999E-5</v>
      </c>
      <c r="C21" s="2">
        <f t="shared" si="0"/>
        <v>16.921916389772942</v>
      </c>
      <c r="D21">
        <f t="shared" si="10"/>
        <v>675</v>
      </c>
      <c r="E21" s="1">
        <v>-5.9196E-6</v>
      </c>
      <c r="F21" s="2">
        <f t="shared" si="1"/>
        <v>4.7861829753173328</v>
      </c>
      <c r="G21">
        <f t="shared" si="9"/>
        <v>663</v>
      </c>
      <c r="H21" s="1">
        <v>-2.1886E-5</v>
      </c>
      <c r="I21" s="2">
        <f t="shared" si="2"/>
        <v>18.015800974769231</v>
      </c>
      <c r="J21">
        <f t="shared" si="7"/>
        <v>695</v>
      </c>
      <c r="K21" s="1">
        <v>-2.8638999999999998E-6</v>
      </c>
      <c r="L21" s="2">
        <f t="shared" si="3"/>
        <v>2.2489186904356835</v>
      </c>
    </row>
    <row r="22" spans="1:236">
      <c r="A22">
        <f t="shared" si="8"/>
        <v>644</v>
      </c>
      <c r="B22" s="1">
        <v>-2.1362E-5</v>
      </c>
      <c r="C22" s="2">
        <f t="shared" si="0"/>
        <v>18.103258478608698</v>
      </c>
      <c r="D22">
        <f t="shared" si="10"/>
        <v>676</v>
      </c>
      <c r="E22" s="1">
        <v>-6.1690999999999999E-6</v>
      </c>
      <c r="F22" s="2">
        <f t="shared" si="1"/>
        <v>4.9805330132591719</v>
      </c>
      <c r="G22">
        <f t="shared" si="9"/>
        <v>664</v>
      </c>
      <c r="H22" s="1">
        <v>-2.3538000000000001E-5</v>
      </c>
      <c r="I22" s="2">
        <f t="shared" si="2"/>
        <v>19.346490217734939</v>
      </c>
      <c r="J22">
        <f t="shared" si="7"/>
        <v>700</v>
      </c>
      <c r="K22" s="1">
        <v>-3.2214000000000002E-6</v>
      </c>
      <c r="L22" s="2">
        <f t="shared" si="3"/>
        <v>2.5115817767040003</v>
      </c>
      <c r="P22" t="s">
        <v>161</v>
      </c>
      <c r="Q22" t="s">
        <v>162</v>
      </c>
      <c r="R22" t="s">
        <v>163</v>
      </c>
      <c r="S22" t="s">
        <v>164</v>
      </c>
      <c r="T22" t="s">
        <v>165</v>
      </c>
      <c r="U22" t="s">
        <v>166</v>
      </c>
      <c r="V22" t="s">
        <v>167</v>
      </c>
      <c r="W22" t="s">
        <v>168</v>
      </c>
      <c r="X22" t="s">
        <v>169</v>
      </c>
      <c r="Y22" t="s">
        <v>170</v>
      </c>
      <c r="Z22" t="s">
        <v>171</v>
      </c>
      <c r="AA22" t="s">
        <v>172</v>
      </c>
      <c r="AB22" t="s">
        <v>173</v>
      </c>
      <c r="AC22" t="s">
        <v>174</v>
      </c>
      <c r="AD22" t="s">
        <v>175</v>
      </c>
      <c r="AE22" t="s">
        <v>176</v>
      </c>
      <c r="AF22" t="s">
        <v>177</v>
      </c>
      <c r="AG22" t="s">
        <v>178</v>
      </c>
      <c r="AH22" t="s">
        <v>179</v>
      </c>
      <c r="AI22" t="s">
        <v>180</v>
      </c>
      <c r="AJ22" t="s">
        <v>181</v>
      </c>
      <c r="AK22" t="s">
        <v>182</v>
      </c>
      <c r="AL22" t="s">
        <v>183</v>
      </c>
      <c r="AM22" t="s">
        <v>184</v>
      </c>
      <c r="AN22" t="s">
        <v>185</v>
      </c>
      <c r="AO22" t="s">
        <v>186</v>
      </c>
      <c r="AP22" t="s">
        <v>187</v>
      </c>
      <c r="AQ22" t="s">
        <v>188</v>
      </c>
      <c r="AR22" t="s">
        <v>189</v>
      </c>
      <c r="AS22" t="s">
        <v>190</v>
      </c>
      <c r="AT22" t="s">
        <v>191</v>
      </c>
      <c r="AU22" t="s">
        <v>192</v>
      </c>
      <c r="AV22" t="s">
        <v>193</v>
      </c>
      <c r="AW22" t="s">
        <v>194</v>
      </c>
      <c r="AX22" t="s">
        <v>195</v>
      </c>
      <c r="AY22" t="s">
        <v>196</v>
      </c>
      <c r="AZ22" t="s">
        <v>197</v>
      </c>
      <c r="BA22" t="s">
        <v>198</v>
      </c>
      <c r="BB22" t="s">
        <v>199</v>
      </c>
      <c r="BC22" t="s">
        <v>200</v>
      </c>
      <c r="BD22" t="s">
        <v>201</v>
      </c>
      <c r="BE22" t="s">
        <v>202</v>
      </c>
      <c r="BF22" t="s">
        <v>203</v>
      </c>
      <c r="BG22" t="s">
        <v>204</v>
      </c>
      <c r="BH22" t="s">
        <v>205</v>
      </c>
      <c r="BI22" t="s">
        <v>206</v>
      </c>
      <c r="BJ22" t="s">
        <v>207</v>
      </c>
      <c r="BK22" t="s">
        <v>208</v>
      </c>
      <c r="BL22" t="s">
        <v>209</v>
      </c>
      <c r="BM22" t="s">
        <v>210</v>
      </c>
      <c r="BN22" t="s">
        <v>211</v>
      </c>
      <c r="BO22" t="s">
        <v>212</v>
      </c>
      <c r="BP22" t="s">
        <v>213</v>
      </c>
      <c r="BQ22" t="s">
        <v>214</v>
      </c>
      <c r="BR22" t="s">
        <v>215</v>
      </c>
      <c r="BS22" t="s">
        <v>216</v>
      </c>
      <c r="BT22" t="s">
        <v>217</v>
      </c>
      <c r="BU22" t="s">
        <v>218</v>
      </c>
      <c r="BV22" t="s">
        <v>219</v>
      </c>
      <c r="BW22" t="s">
        <v>220</v>
      </c>
      <c r="BX22" t="s">
        <v>221</v>
      </c>
      <c r="BY22" t="s">
        <v>222</v>
      </c>
      <c r="BZ22" t="s">
        <v>223</v>
      </c>
      <c r="CA22" t="s">
        <v>224</v>
      </c>
      <c r="CB22" t="s">
        <v>225</v>
      </c>
      <c r="CC22" t="s">
        <v>226</v>
      </c>
      <c r="CD22" t="s">
        <v>227</v>
      </c>
      <c r="CE22" t="s">
        <v>228</v>
      </c>
      <c r="CF22" t="s">
        <v>229</v>
      </c>
      <c r="CG22" t="s">
        <v>230</v>
      </c>
      <c r="CH22" t="s">
        <v>231</v>
      </c>
      <c r="CI22" t="s">
        <v>232</v>
      </c>
      <c r="CJ22" t="s">
        <v>233</v>
      </c>
      <c r="CK22" t="s">
        <v>234</v>
      </c>
      <c r="CL22" t="s">
        <v>235</v>
      </c>
      <c r="CM22" t="s">
        <v>236</v>
      </c>
      <c r="CN22" t="s">
        <v>237</v>
      </c>
      <c r="CO22" t="s">
        <v>238</v>
      </c>
      <c r="CP22" t="s">
        <v>239</v>
      </c>
      <c r="CQ22" t="s">
        <v>240</v>
      </c>
      <c r="CR22" t="s">
        <v>241</v>
      </c>
      <c r="CS22" t="s">
        <v>242</v>
      </c>
      <c r="CT22" t="s">
        <v>243</v>
      </c>
      <c r="CU22" t="s">
        <v>244</v>
      </c>
      <c r="CV22" t="s">
        <v>245</v>
      </c>
      <c r="CW22" t="s">
        <v>246</v>
      </c>
      <c r="CX22" t="s">
        <v>247</v>
      </c>
      <c r="CY22" t="s">
        <v>248</v>
      </c>
      <c r="CZ22" t="s">
        <v>249</v>
      </c>
      <c r="DA22" t="s">
        <v>250</v>
      </c>
      <c r="DB22" t="s">
        <v>251</v>
      </c>
      <c r="DC22" t="s">
        <v>252</v>
      </c>
      <c r="DD22" t="s">
        <v>253</v>
      </c>
      <c r="DE22" t="s">
        <v>254</v>
      </c>
      <c r="DF22" t="s">
        <v>255</v>
      </c>
      <c r="DG22" t="s">
        <v>256</v>
      </c>
      <c r="DH22" t="s">
        <v>257</v>
      </c>
      <c r="DI22" t="s">
        <v>258</v>
      </c>
      <c r="DJ22" t="s">
        <v>259</v>
      </c>
      <c r="DK22" t="s">
        <v>260</v>
      </c>
      <c r="DL22" t="s">
        <v>261</v>
      </c>
      <c r="DM22" t="s">
        <v>262</v>
      </c>
      <c r="DN22" t="s">
        <v>263</v>
      </c>
      <c r="DO22" t="s">
        <v>264</v>
      </c>
      <c r="DP22" t="s">
        <v>265</v>
      </c>
      <c r="DQ22" t="s">
        <v>266</v>
      </c>
      <c r="DR22" t="s">
        <v>267</v>
      </c>
      <c r="DS22" t="s">
        <v>268</v>
      </c>
      <c r="DT22" t="s">
        <v>269</v>
      </c>
      <c r="DU22" t="s">
        <v>270</v>
      </c>
      <c r="DV22" t="s">
        <v>271</v>
      </c>
      <c r="DW22" t="s">
        <v>272</v>
      </c>
      <c r="DX22" t="s">
        <v>273</v>
      </c>
      <c r="DY22" t="s">
        <v>274</v>
      </c>
      <c r="DZ22" t="s">
        <v>275</v>
      </c>
      <c r="EA22" t="s">
        <v>276</v>
      </c>
      <c r="EB22" t="s">
        <v>277</v>
      </c>
      <c r="EC22" t="s">
        <v>278</v>
      </c>
      <c r="ED22" t="s">
        <v>279</v>
      </c>
      <c r="EE22" t="s">
        <v>280</v>
      </c>
      <c r="EF22" t="s">
        <v>281</v>
      </c>
      <c r="EG22" t="s">
        <v>282</v>
      </c>
      <c r="EH22" t="s">
        <v>283</v>
      </c>
      <c r="EI22" t="s">
        <v>284</v>
      </c>
      <c r="EJ22" t="s">
        <v>285</v>
      </c>
      <c r="EK22" t="s">
        <v>286</v>
      </c>
      <c r="EL22" t="s">
        <v>287</v>
      </c>
      <c r="EM22" t="s">
        <v>288</v>
      </c>
      <c r="EN22" t="s">
        <v>289</v>
      </c>
      <c r="EO22" t="s">
        <v>290</v>
      </c>
      <c r="EP22" t="s">
        <v>291</v>
      </c>
      <c r="EQ22" t="s">
        <v>292</v>
      </c>
      <c r="ER22" t="s">
        <v>293</v>
      </c>
      <c r="ES22" t="s">
        <v>294</v>
      </c>
      <c r="ET22" t="s">
        <v>295</v>
      </c>
      <c r="EU22" t="s">
        <v>296</v>
      </c>
      <c r="EV22" t="s">
        <v>297</v>
      </c>
      <c r="EW22" t="s">
        <v>298</v>
      </c>
      <c r="EX22" t="s">
        <v>299</v>
      </c>
      <c r="EY22" t="s">
        <v>300</v>
      </c>
      <c r="EZ22" t="s">
        <v>301</v>
      </c>
      <c r="FA22" t="s">
        <v>302</v>
      </c>
      <c r="FB22" t="s">
        <v>303</v>
      </c>
      <c r="FC22" t="s">
        <v>304</v>
      </c>
      <c r="FD22" t="s">
        <v>305</v>
      </c>
      <c r="FE22" t="s">
        <v>306</v>
      </c>
      <c r="FF22" t="s">
        <v>307</v>
      </c>
      <c r="FG22" t="s">
        <v>308</v>
      </c>
      <c r="FH22" t="s">
        <v>309</v>
      </c>
      <c r="FI22" t="s">
        <v>310</v>
      </c>
      <c r="FJ22" t="s">
        <v>311</v>
      </c>
      <c r="FK22" t="s">
        <v>312</v>
      </c>
      <c r="FL22" t="s">
        <v>313</v>
      </c>
      <c r="FM22" t="s">
        <v>314</v>
      </c>
      <c r="FN22" t="s">
        <v>315</v>
      </c>
      <c r="FO22" t="s">
        <v>316</v>
      </c>
      <c r="FP22" t="s">
        <v>317</v>
      </c>
      <c r="FQ22" t="s">
        <v>318</v>
      </c>
      <c r="FR22" t="s">
        <v>319</v>
      </c>
      <c r="FS22" t="s">
        <v>320</v>
      </c>
      <c r="FT22" t="s">
        <v>321</v>
      </c>
      <c r="FU22" t="s">
        <v>322</v>
      </c>
      <c r="FV22" t="s">
        <v>323</v>
      </c>
      <c r="FW22" t="s">
        <v>324</v>
      </c>
      <c r="FX22" t="s">
        <v>325</v>
      </c>
      <c r="FY22" t="s">
        <v>326</v>
      </c>
      <c r="FZ22" t="s">
        <v>327</v>
      </c>
      <c r="GA22" t="s">
        <v>328</v>
      </c>
      <c r="GB22" t="s">
        <v>329</v>
      </c>
      <c r="GC22" t="s">
        <v>330</v>
      </c>
      <c r="GD22" t="s">
        <v>331</v>
      </c>
      <c r="GE22" t="s">
        <v>332</v>
      </c>
      <c r="GF22" t="s">
        <v>333</v>
      </c>
      <c r="GG22" t="s">
        <v>334</v>
      </c>
      <c r="GH22" t="s">
        <v>335</v>
      </c>
      <c r="GI22" t="s">
        <v>336</v>
      </c>
      <c r="GJ22" t="s">
        <v>337</v>
      </c>
      <c r="GK22" t="s">
        <v>338</v>
      </c>
      <c r="GL22" t="s">
        <v>339</v>
      </c>
      <c r="GM22" t="s">
        <v>340</v>
      </c>
      <c r="GN22" t="s">
        <v>341</v>
      </c>
      <c r="GO22" t="s">
        <v>342</v>
      </c>
      <c r="GP22" t="s">
        <v>343</v>
      </c>
      <c r="GQ22" t="s">
        <v>344</v>
      </c>
      <c r="GR22" t="s">
        <v>345</v>
      </c>
      <c r="GS22" t="s">
        <v>346</v>
      </c>
      <c r="GT22" t="s">
        <v>347</v>
      </c>
      <c r="GU22" t="s">
        <v>348</v>
      </c>
      <c r="GV22" t="s">
        <v>349</v>
      </c>
      <c r="GW22" t="s">
        <v>350</v>
      </c>
      <c r="GX22" t="s">
        <v>351</v>
      </c>
      <c r="GY22" t="s">
        <v>352</v>
      </c>
      <c r="GZ22" t="s">
        <v>353</v>
      </c>
      <c r="HA22" t="s">
        <v>354</v>
      </c>
      <c r="HB22" t="s">
        <v>355</v>
      </c>
      <c r="HC22" t="s">
        <v>356</v>
      </c>
      <c r="HD22" t="s">
        <v>357</v>
      </c>
      <c r="HE22" t="s">
        <v>358</v>
      </c>
      <c r="HF22" t="s">
        <v>359</v>
      </c>
      <c r="HG22" t="s">
        <v>360</v>
      </c>
      <c r="HH22" t="s">
        <v>361</v>
      </c>
      <c r="HI22" t="s">
        <v>362</v>
      </c>
      <c r="HJ22" t="s">
        <v>363</v>
      </c>
      <c r="HK22" t="s">
        <v>364</v>
      </c>
      <c r="HL22" t="s">
        <v>365</v>
      </c>
      <c r="HM22" t="s">
        <v>366</v>
      </c>
      <c r="HN22" t="s">
        <v>367</v>
      </c>
      <c r="HO22" t="s">
        <v>368</v>
      </c>
      <c r="HP22" t="s">
        <v>369</v>
      </c>
      <c r="HQ22" t="s">
        <v>370</v>
      </c>
      <c r="HR22" t="s">
        <v>371</v>
      </c>
      <c r="HS22" t="s">
        <v>372</v>
      </c>
      <c r="HT22" t="s">
        <v>373</v>
      </c>
      <c r="HU22" t="s">
        <v>374</v>
      </c>
      <c r="HV22" t="s">
        <v>375</v>
      </c>
      <c r="HW22" t="s">
        <v>376</v>
      </c>
      <c r="HX22" t="s">
        <v>377</v>
      </c>
      <c r="HY22" t="s">
        <v>378</v>
      </c>
      <c r="HZ22" t="s">
        <v>379</v>
      </c>
      <c r="IA22" t="s">
        <v>380</v>
      </c>
      <c r="IB22" t="s">
        <v>381</v>
      </c>
    </row>
    <row r="23" spans="1:236">
      <c r="A23">
        <f t="shared" si="8"/>
        <v>645</v>
      </c>
      <c r="B23" s="1">
        <v>-2.2920000000000001E-5</v>
      </c>
      <c r="C23" s="2">
        <f t="shared" si="0"/>
        <v>19.393473792000002</v>
      </c>
      <c r="D23">
        <f t="shared" si="10"/>
        <v>677</v>
      </c>
      <c r="E23" s="1">
        <v>-6.4345E-6</v>
      </c>
      <c r="F23" s="2">
        <f t="shared" si="1"/>
        <v>5.1871265727385536</v>
      </c>
      <c r="G23">
        <f>G22+1</f>
        <v>665</v>
      </c>
      <c r="H23" s="1">
        <v>-2.5338999999999999E-5</v>
      </c>
      <c r="I23" s="2">
        <f t="shared" si="2"/>
        <v>20.795460175831575</v>
      </c>
      <c r="J23">
        <f t="shared" si="7"/>
        <v>705</v>
      </c>
      <c r="K23" s="1">
        <v>-3.6712000000000001E-6</v>
      </c>
      <c r="L23" s="2">
        <f t="shared" si="3"/>
        <v>2.8419709650246809</v>
      </c>
      <c r="Q23">
        <v>1.4573</v>
      </c>
      <c r="R23" s="1">
        <v>-1.4729999999999999E-6</v>
      </c>
      <c r="S23" s="1">
        <v>-1.4573E-6</v>
      </c>
      <c r="T23" s="1">
        <v>-1.4418999999999999E-6</v>
      </c>
      <c r="U23" s="1">
        <v>-1.4269000000000001E-6</v>
      </c>
      <c r="V23" s="1">
        <v>-1.4252999999999999E-6</v>
      </c>
      <c r="W23" s="1">
        <v>-1.4326000000000001E-6</v>
      </c>
      <c r="X23" s="1">
        <v>-1.4416000000000001E-6</v>
      </c>
      <c r="Y23" s="1">
        <v>-1.4522E-6</v>
      </c>
      <c r="Z23" s="1">
        <v>-1.4654E-6</v>
      </c>
      <c r="AA23" s="1">
        <v>-1.4823E-6</v>
      </c>
      <c r="AB23" s="1">
        <v>-1.5017E-6</v>
      </c>
      <c r="AC23" s="1">
        <v>-1.5233000000000001E-6</v>
      </c>
      <c r="AD23" s="1">
        <v>-1.5579999999999999E-6</v>
      </c>
      <c r="AE23" s="1">
        <v>-1.6692E-6</v>
      </c>
      <c r="AF23" s="1">
        <v>-1.7955E-6</v>
      </c>
      <c r="AG23" s="1">
        <v>-1.9398999999999998E-6</v>
      </c>
      <c r="AH23" s="1">
        <v>-2.1119999999999999E-6</v>
      </c>
      <c r="AI23" s="1">
        <v>-2.3205000000000001E-6</v>
      </c>
      <c r="AJ23" s="1">
        <v>-2.5697999999999999E-6</v>
      </c>
      <c r="AK23" s="1">
        <v>-2.8638999999999998E-6</v>
      </c>
      <c r="AL23" s="1">
        <v>-3.2214000000000002E-6</v>
      </c>
      <c r="AM23" s="1">
        <v>-3.6712000000000001E-6</v>
      </c>
      <c r="AN23" s="1">
        <v>-4.2707999999999998E-6</v>
      </c>
      <c r="AO23" s="1">
        <v>-5.0222E-6</v>
      </c>
      <c r="AP23" s="1">
        <v>-5.9692000000000004E-6</v>
      </c>
      <c r="AQ23" s="1">
        <v>-7.1895999999999997E-6</v>
      </c>
      <c r="AR23" s="1">
        <v>-8.8008000000000005E-6</v>
      </c>
      <c r="AS23" s="1">
        <v>-1.0966E-5</v>
      </c>
      <c r="AT23" s="1">
        <v>-1.3919E-5</v>
      </c>
      <c r="AU23" s="1">
        <v>-1.8023E-5</v>
      </c>
      <c r="AV23" s="1">
        <v>-2.3862999999999998E-5</v>
      </c>
      <c r="AW23" s="1">
        <v>-3.2359E-5</v>
      </c>
      <c r="AX23" s="1">
        <v>-3.4489000000000001E-5</v>
      </c>
      <c r="AY23" s="1">
        <v>-3.6748999999999997E-5</v>
      </c>
      <c r="AZ23" s="1">
        <v>-3.9187999999999998E-5</v>
      </c>
      <c r="BA23" s="1">
        <v>-4.1814000000000003E-5</v>
      </c>
      <c r="BB23" s="1">
        <v>-4.4644000000000001E-5</v>
      </c>
      <c r="BC23" s="1">
        <v>-4.7689999999999999E-5</v>
      </c>
      <c r="BD23" s="1">
        <v>-5.0964999999999997E-5</v>
      </c>
      <c r="BE23" s="1">
        <v>-5.4481000000000002E-5</v>
      </c>
      <c r="BF23" s="1">
        <v>-5.8248999999999997E-5</v>
      </c>
      <c r="BG23" s="1">
        <v>-2.1054E-7</v>
      </c>
      <c r="BH23" s="1">
        <v>-2.111E-7</v>
      </c>
      <c r="BI23" s="1">
        <v>-2.1163E-7</v>
      </c>
      <c r="BJ23" s="1">
        <v>-2.1213000000000001E-7</v>
      </c>
      <c r="BK23" s="1">
        <v>-2.1261E-7</v>
      </c>
      <c r="BL23" s="1">
        <v>-2.1308E-7</v>
      </c>
      <c r="BM23" s="1">
        <v>-2.1318000000000001E-7</v>
      </c>
      <c r="BN23" s="1">
        <v>-2.1327E-7</v>
      </c>
      <c r="BO23" s="1">
        <v>-2.1337000000000001E-7</v>
      </c>
      <c r="BP23" s="1">
        <v>-2.1346000000000001E-7</v>
      </c>
      <c r="BQ23" s="1">
        <v>-2.1355999999999999E-7</v>
      </c>
      <c r="BR23" s="1">
        <v>-2.1365000000000001E-7</v>
      </c>
      <c r="BS23" s="1">
        <v>-2.1374999999999999E-7</v>
      </c>
      <c r="BT23" s="1">
        <v>-2.1385E-7</v>
      </c>
      <c r="BU23" s="1">
        <v>-2.1395000000000001E-7</v>
      </c>
      <c r="BV23" s="1">
        <v>-2.1404999999999999E-7</v>
      </c>
      <c r="BW23" s="1">
        <v>-2.1415E-7</v>
      </c>
      <c r="BX23" s="1">
        <v>-2.1425E-7</v>
      </c>
      <c r="BY23" s="1">
        <v>-2.1435000000000001E-7</v>
      </c>
      <c r="BZ23" s="1">
        <v>-2.1444999999999999E-7</v>
      </c>
      <c r="CA23" s="1">
        <v>-2.1456000000000001E-7</v>
      </c>
      <c r="CB23" s="1">
        <v>-2.1465999999999999E-7</v>
      </c>
      <c r="CC23" s="1">
        <v>-2.1477000000000001E-7</v>
      </c>
      <c r="CD23" s="1">
        <v>-2.1488E-7</v>
      </c>
      <c r="CE23" s="1">
        <v>-2.1498999999999999E-7</v>
      </c>
      <c r="CF23" s="1">
        <v>-2.1509999999999999E-7</v>
      </c>
      <c r="CG23" s="1">
        <v>-2.1521000000000001E-7</v>
      </c>
      <c r="CH23" s="1">
        <v>-2.1532E-7</v>
      </c>
      <c r="CI23" s="1">
        <v>-2.1542999999999999E-7</v>
      </c>
      <c r="CJ23" s="1">
        <v>-2.1554999999999999E-7</v>
      </c>
      <c r="CK23" s="1">
        <v>-2.1567E-7</v>
      </c>
      <c r="CL23" s="1">
        <v>-2.1579E-7</v>
      </c>
      <c r="CM23" s="1">
        <v>-2.1591000000000001E-7</v>
      </c>
      <c r="CN23" s="1">
        <v>-2.1603000000000001E-7</v>
      </c>
      <c r="CO23" s="1">
        <v>-2.1615000000000001E-7</v>
      </c>
      <c r="CP23" s="1">
        <v>-2.1626999999999999E-7</v>
      </c>
      <c r="CQ23" s="1">
        <v>-2.1640000000000001E-7</v>
      </c>
      <c r="CR23" s="1">
        <v>-2.1652999999999999E-7</v>
      </c>
      <c r="CS23" s="1">
        <v>-2.1666000000000001E-7</v>
      </c>
      <c r="CT23" s="1">
        <v>-2.1679E-7</v>
      </c>
      <c r="CU23" s="1">
        <v>-2.1692000000000001E-7</v>
      </c>
      <c r="CV23" s="1">
        <v>-2.1705E-7</v>
      </c>
      <c r="CW23">
        <v>-2.3752000000000001E-3</v>
      </c>
      <c r="CX23">
        <v>-2.3693E-3</v>
      </c>
      <c r="CY23">
        <v>-2.3635000000000001E-3</v>
      </c>
      <c r="CZ23" s="1">
        <v>-1.2527E-4</v>
      </c>
      <c r="DA23" s="1">
        <v>-1.2584E-4</v>
      </c>
      <c r="DB23" s="1">
        <v>-1.2637999999999999E-4</v>
      </c>
      <c r="DC23" s="1">
        <v>-1.2688E-4</v>
      </c>
      <c r="DD23" s="1">
        <v>-1.2734000000000001E-4</v>
      </c>
      <c r="DE23" s="1">
        <v>-1.2776000000000001E-4</v>
      </c>
      <c r="DF23" s="1">
        <v>-1.2814E-4</v>
      </c>
      <c r="DG23" s="1">
        <v>-1.2846999999999999E-4</v>
      </c>
      <c r="DH23" s="1">
        <v>-1.2877E-4</v>
      </c>
      <c r="DI23" s="1">
        <v>-1.2903E-4</v>
      </c>
      <c r="DJ23" s="1">
        <v>-1.2924E-4</v>
      </c>
      <c r="DK23" s="1">
        <v>-1.2941E-4</v>
      </c>
      <c r="DL23" s="1">
        <v>-1.2954000000000001E-4</v>
      </c>
      <c r="DM23" s="1">
        <v>-1.2962999999999999E-4</v>
      </c>
      <c r="DN23" s="1">
        <v>-1.2967E-4</v>
      </c>
      <c r="DO23" s="1">
        <v>-1.2967E-4</v>
      </c>
      <c r="DP23" s="1">
        <v>-1.2962999999999999E-4</v>
      </c>
      <c r="DQ23" s="1">
        <v>-1.2955E-4</v>
      </c>
      <c r="DR23" s="1">
        <v>-1.2943000000000001E-4</v>
      </c>
      <c r="DS23" s="1">
        <v>-1.2926999999999999E-4</v>
      </c>
      <c r="DT23" s="1">
        <v>-1.2907000000000001E-4</v>
      </c>
      <c r="DU23" s="1">
        <v>-1.2883E-4</v>
      </c>
      <c r="DV23" s="1">
        <v>-1.2855000000000001E-4</v>
      </c>
      <c r="DW23" s="1">
        <v>-1.2824000000000001E-4</v>
      </c>
      <c r="DX23" s="1">
        <v>-1.2789E-4</v>
      </c>
      <c r="DY23" s="1">
        <v>-1.2750000000000001E-4</v>
      </c>
      <c r="DZ23" s="1">
        <v>-1.2709E-4</v>
      </c>
      <c r="EA23" s="1">
        <v>-1.2663E-4</v>
      </c>
      <c r="EB23" s="1">
        <v>-1.2615E-4</v>
      </c>
      <c r="EC23" s="1">
        <v>-1.2564E-4</v>
      </c>
      <c r="ED23" s="1">
        <v>-1.2510000000000001E-4</v>
      </c>
      <c r="EE23" s="1">
        <v>-1.2453E-4</v>
      </c>
      <c r="EF23" s="1">
        <v>-1.2392999999999999E-4</v>
      </c>
      <c r="EG23" s="1">
        <v>-1.2331000000000001E-4</v>
      </c>
      <c r="EH23" s="1">
        <v>-1.2266999999999999E-4</v>
      </c>
      <c r="EI23" s="1">
        <v>-1.22E-4</v>
      </c>
      <c r="EJ23" s="1">
        <v>-1.2131E-4</v>
      </c>
      <c r="EK23" s="1">
        <v>-1.206E-4</v>
      </c>
      <c r="EL23" s="1">
        <v>-1.1987E-4</v>
      </c>
      <c r="EM23" s="1">
        <v>-1.1913000000000001E-4</v>
      </c>
      <c r="EN23" s="1">
        <v>-1.1836999999999999E-4</v>
      </c>
      <c r="EO23" s="1">
        <v>-1.1759E-4</v>
      </c>
      <c r="EP23" s="1">
        <v>-1.1680000000000001E-4</v>
      </c>
      <c r="EQ23" s="1">
        <v>-1.16E-4</v>
      </c>
      <c r="ER23" s="1">
        <v>-1.1519E-4</v>
      </c>
      <c r="ES23" s="1">
        <v>-1.1436E-4</v>
      </c>
      <c r="ET23" s="1">
        <v>-1.1353000000000001E-4</v>
      </c>
      <c r="EU23" s="1">
        <v>-1.1268E-4</v>
      </c>
      <c r="EV23" s="1">
        <v>-1.1183000000000001E-4</v>
      </c>
      <c r="EW23" s="1">
        <v>-1.1097E-4</v>
      </c>
      <c r="EX23" s="1">
        <v>-1.1011E-4</v>
      </c>
      <c r="EY23" s="1">
        <v>-1.0924E-4</v>
      </c>
      <c r="EZ23" s="1">
        <v>-1.0836999999999999E-4</v>
      </c>
      <c r="FA23" s="1">
        <v>-1.0749E-4</v>
      </c>
      <c r="FB23" s="1">
        <v>-1.0661E-4</v>
      </c>
      <c r="FC23" s="1">
        <v>-1.0573000000000001E-4</v>
      </c>
      <c r="FD23" s="1">
        <v>-1.0485E-4</v>
      </c>
      <c r="FE23" s="1">
        <v>-1.0397E-4</v>
      </c>
      <c r="FF23" s="1">
        <v>-1.0308E-4</v>
      </c>
      <c r="FG23" s="1">
        <v>-1.022E-4</v>
      </c>
      <c r="FH23" s="1">
        <v>-1.0132E-4</v>
      </c>
      <c r="FI23" s="1">
        <v>-1.0043999999999999E-4</v>
      </c>
      <c r="FJ23" s="1">
        <v>-9.9565E-5</v>
      </c>
      <c r="FK23" s="1">
        <v>-9.8690999999999994E-5</v>
      </c>
      <c r="FL23" s="1">
        <v>-9.7819999999999995E-5</v>
      </c>
      <c r="FM23" s="1">
        <v>-9.6953000000000005E-5</v>
      </c>
      <c r="FN23" s="1">
        <v>-9.6088999999999994E-5</v>
      </c>
      <c r="FO23" s="1">
        <v>-9.5229999999999995E-5</v>
      </c>
      <c r="FP23" s="1">
        <v>-9.4375000000000004E-5</v>
      </c>
      <c r="FQ23" s="1">
        <v>-9.3524999999999996E-5</v>
      </c>
      <c r="FR23" s="1">
        <v>-9.268E-5</v>
      </c>
      <c r="FS23" s="1">
        <v>-9.1844999999999999E-5</v>
      </c>
      <c r="FT23" s="1">
        <v>-9.1011E-5</v>
      </c>
      <c r="FU23" s="1">
        <v>-9.0183E-5</v>
      </c>
      <c r="FV23" s="1">
        <v>-8.9361E-5</v>
      </c>
      <c r="FW23" s="1">
        <v>-8.8545E-5</v>
      </c>
      <c r="FX23" s="1">
        <v>-8.7736000000000002E-5</v>
      </c>
      <c r="FY23" s="1">
        <v>-8.6934000000000005E-5</v>
      </c>
      <c r="FZ23" s="1">
        <v>-8.6137999999999994E-5</v>
      </c>
      <c r="GA23" s="1">
        <v>-8.5348999999999999E-5</v>
      </c>
      <c r="GB23" s="1">
        <v>-8.4567000000000005E-5</v>
      </c>
      <c r="GC23" s="1">
        <v>-8.3792E-5</v>
      </c>
      <c r="GD23" s="1">
        <v>-8.3024999999999999E-5</v>
      </c>
      <c r="GE23" s="1">
        <v>-8.2263999999999997E-5</v>
      </c>
      <c r="GF23" s="1">
        <v>-8.1512000000000002E-5</v>
      </c>
      <c r="GG23" s="1">
        <v>-8.0766000000000006E-5</v>
      </c>
      <c r="GH23" s="1">
        <v>-8.0028E-5</v>
      </c>
      <c r="GI23" s="1">
        <v>-7.9297999999999999E-5</v>
      </c>
      <c r="GJ23" s="1">
        <v>-7.8574999999999999E-5</v>
      </c>
      <c r="GK23" s="1">
        <v>-7.7859000000000001E-5</v>
      </c>
      <c r="GL23" s="1">
        <v>-7.7150999999999994E-5</v>
      </c>
      <c r="GM23" s="1">
        <v>-7.6451000000000004E-5</v>
      </c>
      <c r="GN23" s="1">
        <v>-7.5757E-5</v>
      </c>
      <c r="GO23" s="1">
        <v>-7.5072000000000002E-5</v>
      </c>
      <c r="GP23" s="1">
        <v>-7.4394999999999995E-5</v>
      </c>
      <c r="GQ23" s="1">
        <v>-7.3725000000000003E-5</v>
      </c>
      <c r="GR23" s="1">
        <v>-7.3063000000000002E-5</v>
      </c>
      <c r="GS23" s="1">
        <v>-7.2408000000000002E-5</v>
      </c>
      <c r="GT23" s="1">
        <v>-7.1760000000000004E-5</v>
      </c>
      <c r="GU23" s="1">
        <v>-7.1120999999999999E-5</v>
      </c>
      <c r="GV23" s="1">
        <v>-7.0487999999999993E-5</v>
      </c>
      <c r="GW23" s="1">
        <v>-6.9863000000000005E-5</v>
      </c>
      <c r="GX23" s="1">
        <v>-6.9245000000000005E-5</v>
      </c>
      <c r="GY23" s="1">
        <v>-6.8635999999999998E-5</v>
      </c>
      <c r="GZ23" s="1">
        <v>-6.8033000000000004E-5</v>
      </c>
      <c r="HA23" s="1">
        <v>-6.7436999999999998E-5</v>
      </c>
      <c r="HB23" s="1">
        <v>-6.6847999999999994E-5</v>
      </c>
      <c r="HC23" s="1">
        <v>-6.6266000000000006E-5</v>
      </c>
      <c r="HD23" s="1">
        <v>-6.5690000000000003E-5</v>
      </c>
      <c r="HE23" s="1">
        <v>-6.5122000000000004E-5</v>
      </c>
      <c r="HF23" s="1">
        <v>-6.4560999999999994E-5</v>
      </c>
      <c r="HG23" s="1">
        <v>-6.1853000000000006E-5</v>
      </c>
      <c r="HH23" s="1">
        <v>-5.9305999999999998E-5</v>
      </c>
      <c r="HI23" s="1">
        <v>-5.6909E-5</v>
      </c>
      <c r="HJ23" s="1">
        <v>-5.4653E-5</v>
      </c>
      <c r="HK23" s="1">
        <v>-5.2528000000000003E-5</v>
      </c>
      <c r="HL23" s="1">
        <v>-5.0525999999999997E-5</v>
      </c>
      <c r="HM23" s="1">
        <v>-4.8637000000000002E-5</v>
      </c>
      <c r="HN23" s="1">
        <v>-4.6854000000000002E-5</v>
      </c>
      <c r="HO23" s="1">
        <v>-4.5170000000000003E-5</v>
      </c>
      <c r="HP23" s="1">
        <v>-4.3581000000000002E-5</v>
      </c>
      <c r="HQ23" s="1">
        <v>-4.2079000000000001E-5</v>
      </c>
      <c r="HR23" s="1">
        <v>-4.066E-5</v>
      </c>
      <c r="HS23" s="1">
        <v>-3.9319000000000001E-5</v>
      </c>
      <c r="HT23" s="1">
        <v>-3.8050999999999999E-5</v>
      </c>
      <c r="HU23" s="1">
        <v>-3.6853000000000001E-5</v>
      </c>
      <c r="HV23" s="1">
        <v>-3.1763000000000001E-5</v>
      </c>
      <c r="HW23" s="1">
        <v>-2.7860000000000001E-5</v>
      </c>
      <c r="HX23" s="1">
        <v>-2.4827000000000001E-5</v>
      </c>
      <c r="HY23" s="1">
        <v>-2.2436999999999999E-5</v>
      </c>
      <c r="HZ23" s="1">
        <v>-2.0479000000000002E-5</v>
      </c>
      <c r="IA23" s="1">
        <v>-1.8814E-5</v>
      </c>
      <c r="IB23" s="1">
        <v>-1.7408999999999999E-5</v>
      </c>
    </row>
    <row r="24" spans="1:236">
      <c r="A24">
        <f t="shared" si="8"/>
        <v>646</v>
      </c>
      <c r="B24" s="1">
        <v>-2.4618999999999999E-5</v>
      </c>
      <c r="C24" s="2">
        <f t="shared" si="0"/>
        <v>20.798815349052632</v>
      </c>
      <c r="D24">
        <f t="shared" si="10"/>
        <v>678</v>
      </c>
      <c r="E24" s="1">
        <v>-6.7170000000000002E-6</v>
      </c>
      <c r="F24" s="2">
        <f t="shared" si="1"/>
        <v>5.4068754235752214</v>
      </c>
      <c r="G24">
        <f t="shared" si="9"/>
        <v>666</v>
      </c>
      <c r="H24" s="1">
        <v>-2.7300999999999998E-5</v>
      </c>
      <c r="I24" s="2">
        <f t="shared" si="2"/>
        <v>22.372011544072073</v>
      </c>
      <c r="J24">
        <f t="shared" si="7"/>
        <v>710</v>
      </c>
      <c r="K24" s="1">
        <v>-4.2707999999999998E-6</v>
      </c>
      <c r="L24" s="2">
        <f t="shared" si="3"/>
        <v>3.2828541944247891</v>
      </c>
      <c r="AV24" t="s">
        <v>382</v>
      </c>
      <c r="AW24" t="s">
        <v>383</v>
      </c>
      <c r="AX24" t="s">
        <v>384</v>
      </c>
      <c r="AY24" t="s">
        <v>182</v>
      </c>
      <c r="AZ24" t="s">
        <v>385</v>
      </c>
      <c r="BA24" t="s">
        <v>386</v>
      </c>
      <c r="BB24" t="s">
        <v>387</v>
      </c>
      <c r="BC24" t="s">
        <v>388</v>
      </c>
      <c r="BD24" t="s">
        <v>183</v>
      </c>
      <c r="BE24" t="s">
        <v>389</v>
      </c>
      <c r="BF24" t="s">
        <v>390</v>
      </c>
      <c r="BG24" t="s">
        <v>391</v>
      </c>
      <c r="BH24" t="s">
        <v>392</v>
      </c>
      <c r="BI24" t="s">
        <v>184</v>
      </c>
      <c r="BJ24" t="s">
        <v>393</v>
      </c>
      <c r="BK24" t="s">
        <v>394</v>
      </c>
      <c r="BL24" t="s">
        <v>395</v>
      </c>
      <c r="BM24" t="s">
        <v>396</v>
      </c>
      <c r="BN24" t="s">
        <v>185</v>
      </c>
      <c r="BO24" t="s">
        <v>397</v>
      </c>
      <c r="BP24" t="s">
        <v>398</v>
      </c>
      <c r="BQ24" t="s">
        <v>399</v>
      </c>
      <c r="BR24" t="s">
        <v>400</v>
      </c>
      <c r="BS24" t="s">
        <v>401</v>
      </c>
      <c r="BT24" t="s">
        <v>402</v>
      </c>
      <c r="BU24" t="s">
        <v>403</v>
      </c>
      <c r="BV24" t="s">
        <v>404</v>
      </c>
      <c r="BW24" t="s">
        <v>405</v>
      </c>
      <c r="BX24" t="s">
        <v>406</v>
      </c>
      <c r="BY24" t="s">
        <v>407</v>
      </c>
      <c r="BZ24" t="s">
        <v>408</v>
      </c>
      <c r="CA24" t="s">
        <v>409</v>
      </c>
      <c r="CB24" t="s">
        <v>410</v>
      </c>
      <c r="CC24" t="s">
        <v>411</v>
      </c>
      <c r="CD24" t="s">
        <v>412</v>
      </c>
      <c r="CE24" t="s">
        <v>413</v>
      </c>
      <c r="CF24" t="s">
        <v>414</v>
      </c>
      <c r="CG24" t="s">
        <v>415</v>
      </c>
      <c r="CH24" t="s">
        <v>416</v>
      </c>
      <c r="CI24" t="s">
        <v>417</v>
      </c>
      <c r="CJ24" t="s">
        <v>418</v>
      </c>
      <c r="CK24" t="s">
        <v>419</v>
      </c>
      <c r="CL24" t="s">
        <v>420</v>
      </c>
      <c r="CM24" t="s">
        <v>186</v>
      </c>
      <c r="CN24" t="s">
        <v>421</v>
      </c>
      <c r="CO24" t="s">
        <v>422</v>
      </c>
      <c r="CP24" t="s">
        <v>423</v>
      </c>
      <c r="CQ24" t="s">
        <v>424</v>
      </c>
      <c r="CR24" t="s">
        <v>425</v>
      </c>
      <c r="CS24" t="s">
        <v>426</v>
      </c>
      <c r="CT24" t="s">
        <v>427</v>
      </c>
      <c r="CU24" t="s">
        <v>428</v>
      </c>
      <c r="CV24" t="s">
        <v>429</v>
      </c>
      <c r="CW24" t="s">
        <v>430</v>
      </c>
      <c r="CX24" t="s">
        <v>431</v>
      </c>
      <c r="CY24" t="s">
        <v>432</v>
      </c>
      <c r="CZ24" t="s">
        <v>433</v>
      </c>
      <c r="DA24" t="s">
        <v>434</v>
      </c>
      <c r="DB24" t="s">
        <v>435</v>
      </c>
      <c r="DC24" t="s">
        <v>436</v>
      </c>
      <c r="DD24" t="s">
        <v>437</v>
      </c>
      <c r="DE24" t="s">
        <v>438</v>
      </c>
      <c r="DF24" t="s">
        <v>439</v>
      </c>
      <c r="DG24" t="s">
        <v>440</v>
      </c>
      <c r="DH24" t="s">
        <v>441</v>
      </c>
      <c r="DI24" t="s">
        <v>442</v>
      </c>
      <c r="DJ24" t="s">
        <v>443</v>
      </c>
      <c r="DK24" t="s">
        <v>444</v>
      </c>
      <c r="DL24" t="s">
        <v>187</v>
      </c>
      <c r="DM24" t="s">
        <v>445</v>
      </c>
      <c r="DN24" t="s">
        <v>446</v>
      </c>
      <c r="DO24" t="s">
        <v>447</v>
      </c>
      <c r="DP24" t="s">
        <v>448</v>
      </c>
      <c r="DQ24" t="s">
        <v>449</v>
      </c>
      <c r="DR24" t="s">
        <v>450</v>
      </c>
      <c r="DS24" t="s">
        <v>451</v>
      </c>
      <c r="DT24" t="s">
        <v>452</v>
      </c>
      <c r="DU24" t="s">
        <v>453</v>
      </c>
      <c r="DV24" t="s">
        <v>454</v>
      </c>
      <c r="DW24" t="s">
        <v>455</v>
      </c>
      <c r="DX24" t="s">
        <v>456</v>
      </c>
      <c r="DY24" t="s">
        <v>457</v>
      </c>
      <c r="DZ24" t="s">
        <v>458</v>
      </c>
      <c r="EA24" t="s">
        <v>459</v>
      </c>
      <c r="EB24" t="s">
        <v>460</v>
      </c>
      <c r="EC24" t="s">
        <v>461</v>
      </c>
      <c r="ED24" t="s">
        <v>462</v>
      </c>
      <c r="EE24" t="s">
        <v>463</v>
      </c>
      <c r="EF24" t="s">
        <v>464</v>
      </c>
      <c r="EG24" t="s">
        <v>465</v>
      </c>
      <c r="EH24" t="s">
        <v>466</v>
      </c>
      <c r="EI24" t="s">
        <v>467</v>
      </c>
      <c r="EJ24" t="s">
        <v>468</v>
      </c>
      <c r="EK24" t="s">
        <v>188</v>
      </c>
      <c r="EL24" t="s">
        <v>469</v>
      </c>
      <c r="EM24" t="s">
        <v>470</v>
      </c>
      <c r="EN24" t="s">
        <v>471</v>
      </c>
      <c r="EO24" t="s">
        <v>472</v>
      </c>
      <c r="EP24" t="s">
        <v>473</v>
      </c>
      <c r="EQ24" t="s">
        <v>474</v>
      </c>
      <c r="ER24" t="s">
        <v>475</v>
      </c>
      <c r="ES24" t="s">
        <v>476</v>
      </c>
      <c r="ET24" t="s">
        <v>477</v>
      </c>
      <c r="EU24" t="s">
        <v>478</v>
      </c>
      <c r="EV24" t="s">
        <v>479</v>
      </c>
      <c r="EW24" t="s">
        <v>480</v>
      </c>
      <c r="EX24" t="s">
        <v>481</v>
      </c>
      <c r="EY24" t="s">
        <v>482</v>
      </c>
      <c r="EZ24" t="s">
        <v>483</v>
      </c>
      <c r="FA24" t="s">
        <v>484</v>
      </c>
      <c r="FB24" t="s">
        <v>485</v>
      </c>
      <c r="FC24" t="s">
        <v>486</v>
      </c>
      <c r="FD24" t="s">
        <v>487</v>
      </c>
      <c r="FE24" t="s">
        <v>488</v>
      </c>
      <c r="FF24" t="s">
        <v>489</v>
      </c>
      <c r="FG24" t="s">
        <v>490</v>
      </c>
      <c r="FH24" t="s">
        <v>491</v>
      </c>
      <c r="FI24" t="s">
        <v>492</v>
      </c>
      <c r="FJ24" t="s">
        <v>189</v>
      </c>
      <c r="FK24" t="s">
        <v>493</v>
      </c>
      <c r="FL24" t="s">
        <v>494</v>
      </c>
      <c r="FM24" t="s">
        <v>495</v>
      </c>
      <c r="FN24" t="s">
        <v>496</v>
      </c>
      <c r="FO24" t="s">
        <v>190</v>
      </c>
      <c r="FP24" t="s">
        <v>497</v>
      </c>
      <c r="FQ24" t="s">
        <v>498</v>
      </c>
      <c r="FR24" t="s">
        <v>499</v>
      </c>
      <c r="FS24" t="s">
        <v>500</v>
      </c>
      <c r="FT24" t="s">
        <v>191</v>
      </c>
      <c r="FU24" t="s">
        <v>501</v>
      </c>
      <c r="FV24" t="s">
        <v>502</v>
      </c>
      <c r="FW24" t="s">
        <v>503</v>
      </c>
      <c r="FX24" t="s">
        <v>504</v>
      </c>
      <c r="FY24" t="s">
        <v>192</v>
      </c>
      <c r="FZ24" t="s">
        <v>505</v>
      </c>
      <c r="GA24" t="s">
        <v>506</v>
      </c>
      <c r="GB24" t="s">
        <v>507</v>
      </c>
      <c r="GC24" t="s">
        <v>508</v>
      </c>
      <c r="GD24" t="s">
        <v>193</v>
      </c>
      <c r="GE24" t="s">
        <v>509</v>
      </c>
      <c r="GF24" t="s">
        <v>510</v>
      </c>
      <c r="GG24" t="s">
        <v>511</v>
      </c>
      <c r="GH24" t="s">
        <v>512</v>
      </c>
      <c r="GI24" t="s">
        <v>194</v>
      </c>
      <c r="GJ24" t="s">
        <v>195</v>
      </c>
      <c r="GK24" t="s">
        <v>196</v>
      </c>
      <c r="GL24" t="s">
        <v>197</v>
      </c>
      <c r="GM24" t="s">
        <v>198</v>
      </c>
      <c r="GN24" t="s">
        <v>199</v>
      </c>
      <c r="GO24" t="s">
        <v>204</v>
      </c>
      <c r="GP24" t="s">
        <v>209</v>
      </c>
      <c r="GQ24" t="s">
        <v>234</v>
      </c>
      <c r="GR24" t="s">
        <v>259</v>
      </c>
      <c r="GS24" t="s">
        <v>284</v>
      </c>
      <c r="GT24" t="s">
        <v>309</v>
      </c>
      <c r="GU24" t="s">
        <v>334</v>
      </c>
      <c r="GV24" t="s">
        <v>359</v>
      </c>
      <c r="GW24" t="s">
        <v>364</v>
      </c>
      <c r="GX24" t="s">
        <v>369</v>
      </c>
      <c r="GY24" t="s">
        <v>374</v>
      </c>
      <c r="GZ24" t="s">
        <v>375</v>
      </c>
      <c r="HA24" t="s">
        <v>376</v>
      </c>
      <c r="HB24" t="s">
        <v>377</v>
      </c>
      <c r="HC24" t="s">
        <v>378</v>
      </c>
      <c r="HD24" t="s">
        <v>379</v>
      </c>
      <c r="HE24" t="s">
        <v>380</v>
      </c>
      <c r="HF24" t="s">
        <v>381</v>
      </c>
      <c r="HG24" t="s">
        <v>513</v>
      </c>
      <c r="HH24" t="s">
        <v>514</v>
      </c>
      <c r="HI24" t="s">
        <v>515</v>
      </c>
      <c r="HJ24" t="s">
        <v>516</v>
      </c>
      <c r="HK24" t="s">
        <v>517</v>
      </c>
      <c r="HL24" t="s">
        <v>518</v>
      </c>
      <c r="HM24" t="s">
        <v>519</v>
      </c>
      <c r="HN24" t="s">
        <v>520</v>
      </c>
      <c r="HO24" t="s">
        <v>521</v>
      </c>
      <c r="HP24" t="s">
        <v>522</v>
      </c>
    </row>
    <row r="25" spans="1:236">
      <c r="A25">
        <f>A24+1</f>
        <v>647</v>
      </c>
      <c r="B25" s="1">
        <v>-2.6469E-5</v>
      </c>
      <c r="C25" s="2">
        <f t="shared" si="0"/>
        <v>22.327184554386399</v>
      </c>
      <c r="D25">
        <f t="shared" si="10"/>
        <v>679</v>
      </c>
      <c r="E25" s="1">
        <v>-7.0180000000000004E-6</v>
      </c>
      <c r="F25" s="2">
        <f t="shared" si="1"/>
        <v>5.6408467180206188</v>
      </c>
      <c r="G25">
        <f t="shared" si="9"/>
        <v>667</v>
      </c>
      <c r="H25" s="1">
        <v>-2.9436000000000001E-5</v>
      </c>
      <c r="I25" s="2">
        <f t="shared" si="2"/>
        <v>24.085389241187407</v>
      </c>
      <c r="J25">
        <f t="shared" si="7"/>
        <v>715</v>
      </c>
      <c r="K25" s="1">
        <v>-5.0222E-6</v>
      </c>
      <c r="L25" s="2">
        <f t="shared" si="3"/>
        <v>3.8334400060061533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>
        <v>-1.3619E-5</v>
      </c>
      <c r="AW25" s="1">
        <v>-1.4450999999999999E-5</v>
      </c>
      <c r="AX25" s="1">
        <v>-1.5353999999999999E-5</v>
      </c>
      <c r="AY25" s="1">
        <v>-1.6334999999999999E-5</v>
      </c>
      <c r="AZ25" s="1">
        <v>-1.7402999999999999E-5</v>
      </c>
      <c r="BA25" s="1">
        <v>-1.8566000000000001E-5</v>
      </c>
      <c r="BB25" s="1">
        <v>-1.9837E-5</v>
      </c>
      <c r="BC25" s="1">
        <v>-2.1223E-5</v>
      </c>
      <c r="BD25" s="1">
        <v>-2.2739999999999999E-5</v>
      </c>
      <c r="BE25" s="1">
        <v>-2.44E-5</v>
      </c>
      <c r="BF25" s="1">
        <v>-2.6217999999999999E-5</v>
      </c>
      <c r="BG25" s="1">
        <v>-2.8211000000000001E-5</v>
      </c>
      <c r="BH25" s="1">
        <v>-3.0397999999999999E-5</v>
      </c>
      <c r="BI25" s="1">
        <v>-3.2749000000000001E-5</v>
      </c>
      <c r="BJ25" s="1">
        <v>-3.5259999999999998E-5</v>
      </c>
      <c r="BK25" s="1">
        <v>-1.8503000000000001E-7</v>
      </c>
      <c r="BL25" s="1">
        <v>-1.8535999999999999E-7</v>
      </c>
      <c r="BM25" s="1">
        <v>-1.8568999999999999E-7</v>
      </c>
      <c r="BN25" s="1">
        <v>-1.8605E-7</v>
      </c>
      <c r="BO25" s="1">
        <v>-1.8613000000000001E-7</v>
      </c>
      <c r="BP25" s="1">
        <v>-1.8620000000000001E-7</v>
      </c>
      <c r="BQ25" s="1">
        <v>-1.8628E-7</v>
      </c>
      <c r="BR25" s="1">
        <v>-1.8635E-7</v>
      </c>
      <c r="BS25" s="1">
        <v>-1.8643000000000001E-7</v>
      </c>
      <c r="BT25" s="1">
        <v>-1.8650999999999999E-7</v>
      </c>
      <c r="BU25">
        <v>-3.3032999999999999E-3</v>
      </c>
      <c r="BV25">
        <v>-3.2965999999999998E-3</v>
      </c>
      <c r="BW25">
        <v>-3.29E-3</v>
      </c>
      <c r="BX25">
        <v>-3.2832999999999998E-3</v>
      </c>
      <c r="BY25">
        <v>-3.2766000000000002E-3</v>
      </c>
      <c r="BZ25">
        <v>-3.2697999999999998E-3</v>
      </c>
      <c r="CA25">
        <v>-3.2629999999999998E-3</v>
      </c>
      <c r="CB25">
        <v>-3.2561999999999999E-3</v>
      </c>
      <c r="CC25">
        <v>-3.2491999999999998E-3</v>
      </c>
      <c r="CD25">
        <v>-3.2423E-3</v>
      </c>
      <c r="CE25">
        <v>-3.2353E-3</v>
      </c>
      <c r="CF25">
        <v>-3.2282000000000001E-3</v>
      </c>
      <c r="CG25">
        <v>-3.2211000000000002E-3</v>
      </c>
      <c r="CH25">
        <v>-3.2139999999999998E-3</v>
      </c>
      <c r="CI25">
        <v>-3.2068000000000001E-3</v>
      </c>
      <c r="CJ25">
        <v>-3.1995000000000001E-3</v>
      </c>
      <c r="CK25">
        <v>-3.1922000000000001E-3</v>
      </c>
      <c r="CL25">
        <v>-3.1847999999999998E-3</v>
      </c>
      <c r="CM25">
        <v>-3.1773999999999999E-3</v>
      </c>
      <c r="CN25">
        <v>-3.1698999999999998E-3</v>
      </c>
      <c r="CO25">
        <v>-3.1624000000000001E-3</v>
      </c>
      <c r="CP25">
        <v>-3.1548000000000001E-3</v>
      </c>
      <c r="CQ25">
        <v>-3.1470999999999999E-3</v>
      </c>
      <c r="CR25">
        <v>-3.1394000000000001E-3</v>
      </c>
      <c r="CS25">
        <v>-3.1316999999999998E-3</v>
      </c>
      <c r="CT25">
        <v>-3.1239000000000002E-3</v>
      </c>
      <c r="CU25">
        <v>-3.1159999999999998E-3</v>
      </c>
      <c r="CV25">
        <v>-3.1080999999999999E-3</v>
      </c>
      <c r="CW25" s="1">
        <v>-1.8906E-7</v>
      </c>
      <c r="CX25" s="1">
        <v>-1.8915E-7</v>
      </c>
      <c r="CY25" s="1">
        <v>-1.8923999999999999E-7</v>
      </c>
      <c r="CZ25" s="1">
        <v>-1.8932999999999999E-7</v>
      </c>
      <c r="DA25" s="1">
        <v>-1.8943E-7</v>
      </c>
      <c r="DB25" s="1">
        <v>-1.8951999999999999E-7</v>
      </c>
      <c r="DC25" s="1">
        <v>-1.896E-7</v>
      </c>
      <c r="DD25" s="1">
        <v>-1.8969E-7</v>
      </c>
      <c r="DE25" s="1">
        <v>-1.8978E-7</v>
      </c>
      <c r="DF25" s="1">
        <v>-1.8986999999999999E-7</v>
      </c>
      <c r="DG25" s="1">
        <v>-1.8995E-7</v>
      </c>
      <c r="DH25" s="1">
        <v>-1.9004E-7</v>
      </c>
      <c r="DI25" s="1">
        <v>-1.9012000000000001E-7</v>
      </c>
      <c r="DJ25" s="1">
        <v>-1.9021000000000001E-7</v>
      </c>
      <c r="DK25" s="1">
        <v>-1.9028999999999999E-7</v>
      </c>
      <c r="DL25" s="1">
        <v>-1.9037E-7</v>
      </c>
      <c r="DM25" s="1">
        <v>-1.9044999999999999E-7</v>
      </c>
      <c r="DN25">
        <v>-2.9405999999999998E-3</v>
      </c>
      <c r="DO25">
        <v>-2.9318999999999999E-3</v>
      </c>
      <c r="DP25" s="1">
        <v>-9.1658999999999998E-5</v>
      </c>
      <c r="DQ25" s="1">
        <v>-9.2194999999999994E-5</v>
      </c>
      <c r="DR25" s="1">
        <v>-9.2700000000000004E-5</v>
      </c>
      <c r="DS25" s="1">
        <v>-9.3171999999999995E-5</v>
      </c>
      <c r="DT25" s="1">
        <v>-9.3610999999999995E-5</v>
      </c>
      <c r="DU25" s="1">
        <v>-9.4016000000000002E-5</v>
      </c>
      <c r="DV25" s="1">
        <v>-9.4387000000000003E-5</v>
      </c>
      <c r="DW25" s="1">
        <v>-9.4721000000000003E-5</v>
      </c>
      <c r="DX25" s="1">
        <v>-9.5019999999999995E-5</v>
      </c>
      <c r="DY25" s="1">
        <v>-9.5282E-5</v>
      </c>
      <c r="DZ25" s="1">
        <v>-9.5506000000000003E-5</v>
      </c>
      <c r="EA25" s="1">
        <v>-9.5693999999999996E-5</v>
      </c>
      <c r="EB25" s="1">
        <v>-9.5842999999999997E-5</v>
      </c>
      <c r="EC25" s="1">
        <v>-9.5954999999999999E-5</v>
      </c>
      <c r="ED25" s="1">
        <v>-9.6028999999999998E-5</v>
      </c>
      <c r="EE25" s="1">
        <v>-9.6064999999999996E-5</v>
      </c>
      <c r="EF25" s="1">
        <v>-9.6063999999999994E-5</v>
      </c>
      <c r="EG25" s="1">
        <v>-9.6026000000000005E-5</v>
      </c>
      <c r="EH25" s="1">
        <v>-9.5951000000000003E-5</v>
      </c>
      <c r="EI25" s="1">
        <v>-9.5840000000000004E-5</v>
      </c>
      <c r="EJ25" s="1">
        <v>-9.5693999999999996E-5</v>
      </c>
      <c r="EK25" s="1">
        <v>-9.5512000000000003E-5</v>
      </c>
      <c r="EL25" s="1">
        <v>-9.5296000000000004E-5</v>
      </c>
      <c r="EM25" s="1">
        <v>-9.5047E-5</v>
      </c>
      <c r="EN25" s="1">
        <v>-9.4765999999999994E-5</v>
      </c>
      <c r="EO25" s="1">
        <v>-9.4452999999999998E-5</v>
      </c>
      <c r="EP25" s="1">
        <v>-9.4110000000000005E-5</v>
      </c>
      <c r="EQ25" s="1">
        <v>-9.3737000000000001E-5</v>
      </c>
      <c r="ER25" s="1">
        <v>-9.3337000000000004E-5</v>
      </c>
      <c r="ES25" s="1">
        <v>-9.2909000000000001E-5</v>
      </c>
      <c r="ET25" s="1">
        <v>-9.2458000000000001E-5</v>
      </c>
      <c r="EU25" s="1">
        <v>-9.1979999999999997E-5</v>
      </c>
      <c r="EV25" s="1">
        <v>-9.1477999999999994E-5</v>
      </c>
      <c r="EW25" s="1">
        <v>-9.0952999999999995E-5</v>
      </c>
      <c r="EX25" s="1">
        <v>-9.0408000000000006E-5</v>
      </c>
      <c r="EY25" s="1">
        <v>-8.9841999999999998E-5</v>
      </c>
      <c r="EZ25" s="1">
        <v>-8.9258000000000005E-5</v>
      </c>
      <c r="FA25" s="1">
        <v>-8.8657000000000002E-5</v>
      </c>
      <c r="FB25" s="1">
        <v>-8.8039000000000002E-5</v>
      </c>
      <c r="FC25" s="1">
        <v>-8.7405999999999996E-5</v>
      </c>
      <c r="FD25" s="1">
        <v>-8.6759000000000001E-5</v>
      </c>
      <c r="FE25" s="1">
        <v>-8.6099000000000004E-5</v>
      </c>
      <c r="FF25" s="1">
        <v>-8.5426999999999994E-5</v>
      </c>
      <c r="FG25" s="1">
        <v>-8.4744E-5</v>
      </c>
      <c r="FH25" s="1">
        <v>-8.4052000000000001E-5</v>
      </c>
      <c r="FI25" s="1">
        <v>-8.3350999999999995E-5</v>
      </c>
      <c r="FJ25" s="1">
        <v>-8.2640999999999997E-5</v>
      </c>
      <c r="FK25" s="1">
        <v>-7.9010000000000004E-5</v>
      </c>
      <c r="FL25" s="1">
        <v>-7.5309999999999996E-5</v>
      </c>
      <c r="FM25" s="1">
        <v>-7.1620999999999997E-5</v>
      </c>
      <c r="FN25" s="1">
        <v>-6.8003000000000006E-5</v>
      </c>
      <c r="FO25" s="1">
        <v>-1.9600999999999999E-7</v>
      </c>
      <c r="FP25" s="1">
        <v>-1.9649000000000001E-7</v>
      </c>
      <c r="FQ25" s="1">
        <v>-1.9696000000000001E-7</v>
      </c>
      <c r="FR25" s="1">
        <v>-1.9739E-7</v>
      </c>
      <c r="FS25" s="1">
        <v>-1.9779E-7</v>
      </c>
      <c r="FT25" s="1">
        <v>-1.9815000000000001E-7</v>
      </c>
      <c r="FU25" s="1">
        <v>-1.9847E-7</v>
      </c>
      <c r="FV25" s="1">
        <v>-1.9875999999999999E-7</v>
      </c>
      <c r="FW25" s="1">
        <v>-1.9903E-7</v>
      </c>
      <c r="FX25" s="1">
        <v>-4.0423000000000002E-5</v>
      </c>
      <c r="FY25" s="1">
        <v>-3.8541000000000003E-5</v>
      </c>
      <c r="FZ25" s="1">
        <v>-3.6789000000000003E-5</v>
      </c>
      <c r="GA25" s="1">
        <v>-3.5154999999999998E-5</v>
      </c>
      <c r="GB25" s="1">
        <v>-3.3631999999999999E-5</v>
      </c>
      <c r="GC25" s="1">
        <v>-3.2211E-5</v>
      </c>
      <c r="GD25" s="1">
        <v>-3.0883000000000002E-5</v>
      </c>
      <c r="GE25" s="1">
        <v>-2.9640000000000001E-5</v>
      </c>
      <c r="GF25" s="1">
        <v>-2.8476999999999999E-5</v>
      </c>
      <c r="GG25" s="1">
        <v>-2.7387000000000001E-5</v>
      </c>
      <c r="GH25" s="1">
        <v>-2.6364E-5</v>
      </c>
      <c r="GI25" s="1">
        <v>-2.5403999999999999E-5</v>
      </c>
      <c r="GJ25" s="1">
        <v>-2.4502E-5</v>
      </c>
      <c r="GK25" s="1">
        <v>-2.3694E-5</v>
      </c>
      <c r="GL25" s="1">
        <v>-2.2932E-5</v>
      </c>
      <c r="GM25" s="1">
        <v>-2.2215999999999999E-5</v>
      </c>
      <c r="GN25" s="1">
        <v>-2.1540999999999999E-5</v>
      </c>
      <c r="GO25" s="1">
        <v>-1.8700000000000001E-5</v>
      </c>
      <c r="GP25" s="1">
        <v>-1.6554000000000001E-5</v>
      </c>
      <c r="GQ25" s="1">
        <v>-1.4883E-5</v>
      </c>
      <c r="GR25" s="1">
        <v>-1.3536000000000001E-5</v>
      </c>
      <c r="GS25" s="1">
        <v>-1.2447E-5</v>
      </c>
      <c r="GT25" s="1">
        <v>-1.1576000000000001E-5</v>
      </c>
      <c r="GU25" s="1">
        <v>-1.0881E-5</v>
      </c>
      <c r="GV25" s="1">
        <v>-1.0315E-5</v>
      </c>
      <c r="GW25" s="1">
        <v>-9.8247999999999995E-6</v>
      </c>
      <c r="GX25" s="1">
        <v>-9.3919000000000007E-6</v>
      </c>
      <c r="GY25" s="1">
        <v>-9.0267999999999997E-6</v>
      </c>
      <c r="GZ25" s="1">
        <v>-8.7315999999999995E-6</v>
      </c>
      <c r="HA25" s="1">
        <v>-8.4755000000000004E-6</v>
      </c>
      <c r="HB25" s="1">
        <v>-8.2657999999999997E-6</v>
      </c>
      <c r="HC25" s="1">
        <v>-8.0826999999999997E-6</v>
      </c>
      <c r="HD25" s="1">
        <v>-7.8961000000000005E-6</v>
      </c>
      <c r="HE25" s="1">
        <v>-7.7144000000000002E-6</v>
      </c>
      <c r="HF25" s="1">
        <v>-7.5599000000000002E-6</v>
      </c>
      <c r="HG25" s="1">
        <v>-7.4398000000000003E-6</v>
      </c>
      <c r="HH25" s="1">
        <v>-7.3544999999999996E-6</v>
      </c>
      <c r="HI25" s="1">
        <v>-7.3035999999999998E-6</v>
      </c>
      <c r="HJ25" s="1">
        <v>-7.2822999999999997E-6</v>
      </c>
      <c r="HK25" s="1">
        <v>-7.2644000000000003E-6</v>
      </c>
      <c r="HL25" s="1">
        <v>-7.2129E-6</v>
      </c>
      <c r="HM25" s="1">
        <v>-7.1369999999999996E-6</v>
      </c>
      <c r="HN25" s="1">
        <v>-7.0708000000000001E-6</v>
      </c>
      <c r="HO25" s="1">
        <v>-7.0906999999999997E-6</v>
      </c>
      <c r="HP25" s="1">
        <v>-7.1733999999999998E-6</v>
      </c>
    </row>
    <row r="26" spans="1:236">
      <c r="A26">
        <f t="shared" si="8"/>
        <v>648</v>
      </c>
      <c r="B26" s="1">
        <v>-2.8479E-5</v>
      </c>
      <c r="C26" s="2">
        <f t="shared" si="0"/>
        <v>23.985591818222222</v>
      </c>
      <c r="D26">
        <f t="shared" si="10"/>
        <v>680</v>
      </c>
      <c r="E26" s="1">
        <v>-7.3390000000000004E-6</v>
      </c>
      <c r="F26" s="2">
        <f t="shared" si="1"/>
        <v>5.8901815896</v>
      </c>
      <c r="G26">
        <f>G25+1</f>
        <v>668</v>
      </c>
      <c r="H26" s="1">
        <v>-3.1751000000000001E-5</v>
      </c>
      <c r="I26" s="2">
        <f t="shared" si="2"/>
        <v>25.940697806514972</v>
      </c>
      <c r="J26">
        <f t="shared" si="7"/>
        <v>720</v>
      </c>
      <c r="K26" s="1">
        <v>-5.9692000000000004E-6</v>
      </c>
      <c r="L26" s="2">
        <f t="shared" si="3"/>
        <v>4.5246432533866665</v>
      </c>
    </row>
    <row r="27" spans="1:236">
      <c r="A27">
        <f>A26+1</f>
        <v>649</v>
      </c>
      <c r="B27" s="1">
        <v>-3.0652999999999999E-5</v>
      </c>
      <c r="C27" s="2">
        <f t="shared" si="0"/>
        <v>25.776799730440679</v>
      </c>
      <c r="D27">
        <f t="shared" si="10"/>
        <v>681</v>
      </c>
      <c r="E27" s="1">
        <v>-7.6817999999999999E-6</v>
      </c>
      <c r="F27" s="2">
        <f t="shared" si="1"/>
        <v>6.1562548915030835</v>
      </c>
      <c r="G27">
        <f t="shared" si="9"/>
        <v>669</v>
      </c>
      <c r="H27" s="1">
        <v>-3.4255000000000003E-5</v>
      </c>
      <c r="I27" s="2">
        <f t="shared" si="2"/>
        <v>27.944642824753366</v>
      </c>
      <c r="J27">
        <f t="shared" si="7"/>
        <v>725</v>
      </c>
      <c r="K27" s="1">
        <v>-7.1895999999999997E-6</v>
      </c>
      <c r="L27" s="2">
        <f t="shared" si="3"/>
        <v>5.4121201701782065</v>
      </c>
      <c r="O27" t="s">
        <v>523</v>
      </c>
      <c r="P27" t="s">
        <v>162</v>
      </c>
      <c r="Q27" t="s">
        <v>163</v>
      </c>
      <c r="R27" t="s">
        <v>164</v>
      </c>
      <c r="S27" t="s">
        <v>165</v>
      </c>
      <c r="T27" t="s">
        <v>166</v>
      </c>
      <c r="U27" t="s">
        <v>167</v>
      </c>
      <c r="V27" t="s">
        <v>168</v>
      </c>
      <c r="W27" t="s">
        <v>169</v>
      </c>
      <c r="X27" t="s">
        <v>170</v>
      </c>
      <c r="Y27" t="s">
        <v>171</v>
      </c>
      <c r="Z27" t="s">
        <v>172</v>
      </c>
      <c r="AA27" t="s">
        <v>173</v>
      </c>
      <c r="AB27" t="s">
        <v>174</v>
      </c>
      <c r="AC27" t="s">
        <v>175</v>
      </c>
      <c r="AD27" t="s">
        <v>176</v>
      </c>
      <c r="AE27" t="s">
        <v>177</v>
      </c>
      <c r="AF27" t="s">
        <v>178</v>
      </c>
      <c r="AG27" t="s">
        <v>179</v>
      </c>
      <c r="AH27" t="s">
        <v>180</v>
      </c>
      <c r="AI27" t="s">
        <v>181</v>
      </c>
      <c r="AJ27" t="s">
        <v>182</v>
      </c>
      <c r="AK27" t="s">
        <v>183</v>
      </c>
      <c r="AL27" t="s">
        <v>184</v>
      </c>
      <c r="AM27" t="s">
        <v>185</v>
      </c>
      <c r="AN27" t="s">
        <v>186</v>
      </c>
      <c r="AO27" t="s">
        <v>187</v>
      </c>
      <c r="AP27" t="s">
        <v>188</v>
      </c>
      <c r="AQ27" t="s">
        <v>189</v>
      </c>
      <c r="AR27" t="s">
        <v>190</v>
      </c>
      <c r="AS27" t="s">
        <v>191</v>
      </c>
      <c r="AT27" t="s">
        <v>192</v>
      </c>
      <c r="AU27" t="s">
        <v>193</v>
      </c>
      <c r="AV27" t="s">
        <v>194</v>
      </c>
      <c r="AW27" t="s">
        <v>195</v>
      </c>
      <c r="AX27" t="s">
        <v>196</v>
      </c>
      <c r="AY27" t="s">
        <v>197</v>
      </c>
      <c r="AZ27" t="s">
        <v>198</v>
      </c>
      <c r="BA27" t="s">
        <v>199</v>
      </c>
      <c r="BB27" t="s">
        <v>200</v>
      </c>
      <c r="BC27" t="s">
        <v>201</v>
      </c>
      <c r="BD27" t="s">
        <v>202</v>
      </c>
      <c r="BE27" t="s">
        <v>203</v>
      </c>
      <c r="BF27" t="s">
        <v>204</v>
      </c>
      <c r="BG27" t="s">
        <v>205</v>
      </c>
      <c r="BH27" t="s">
        <v>206</v>
      </c>
      <c r="BI27" t="s">
        <v>207</v>
      </c>
      <c r="BJ27" t="s">
        <v>208</v>
      </c>
      <c r="BK27" t="s">
        <v>209</v>
      </c>
      <c r="BL27" t="s">
        <v>210</v>
      </c>
      <c r="BM27" t="s">
        <v>211</v>
      </c>
      <c r="BN27" t="s">
        <v>212</v>
      </c>
      <c r="BO27" t="s">
        <v>213</v>
      </c>
      <c r="BP27" t="s">
        <v>214</v>
      </c>
      <c r="BQ27" t="s">
        <v>215</v>
      </c>
      <c r="BR27" t="s">
        <v>216</v>
      </c>
      <c r="BS27" t="s">
        <v>217</v>
      </c>
      <c r="BT27" t="s">
        <v>218</v>
      </c>
      <c r="BU27" t="s">
        <v>219</v>
      </c>
      <c r="BV27" t="s">
        <v>220</v>
      </c>
      <c r="BW27" t="s">
        <v>221</v>
      </c>
      <c r="BX27" t="s">
        <v>222</v>
      </c>
      <c r="BY27" t="s">
        <v>223</v>
      </c>
      <c r="BZ27" t="s">
        <v>224</v>
      </c>
      <c r="CA27" t="s">
        <v>225</v>
      </c>
      <c r="CB27" t="s">
        <v>226</v>
      </c>
      <c r="CC27" t="s">
        <v>227</v>
      </c>
      <c r="CD27" t="s">
        <v>228</v>
      </c>
      <c r="CE27" t="s">
        <v>229</v>
      </c>
      <c r="CF27" t="s">
        <v>230</v>
      </c>
      <c r="CG27" t="s">
        <v>231</v>
      </c>
      <c r="CH27" t="s">
        <v>232</v>
      </c>
      <c r="CI27" t="s">
        <v>233</v>
      </c>
      <c r="CJ27" t="s">
        <v>234</v>
      </c>
      <c r="CK27" t="s">
        <v>235</v>
      </c>
      <c r="CL27" t="s">
        <v>236</v>
      </c>
      <c r="CM27" t="s">
        <v>237</v>
      </c>
      <c r="CN27" t="s">
        <v>238</v>
      </c>
      <c r="CO27" t="s">
        <v>239</v>
      </c>
      <c r="CP27" t="s">
        <v>240</v>
      </c>
      <c r="CQ27" t="s">
        <v>241</v>
      </c>
      <c r="CR27" t="s">
        <v>242</v>
      </c>
      <c r="CS27" t="s">
        <v>243</v>
      </c>
      <c r="CT27" t="s">
        <v>244</v>
      </c>
      <c r="CU27" t="s">
        <v>245</v>
      </c>
      <c r="CV27" t="s">
        <v>246</v>
      </c>
      <c r="CW27" t="s">
        <v>247</v>
      </c>
      <c r="CX27" t="s">
        <v>248</v>
      </c>
      <c r="CY27" t="s">
        <v>249</v>
      </c>
      <c r="CZ27" t="s">
        <v>250</v>
      </c>
      <c r="DA27" t="s">
        <v>251</v>
      </c>
      <c r="DB27" t="s">
        <v>252</v>
      </c>
      <c r="DC27" t="s">
        <v>253</v>
      </c>
      <c r="DD27" t="s">
        <v>254</v>
      </c>
      <c r="DE27" t="s">
        <v>255</v>
      </c>
      <c r="DF27" t="s">
        <v>256</v>
      </c>
      <c r="DG27" t="s">
        <v>257</v>
      </c>
      <c r="DH27" t="s">
        <v>258</v>
      </c>
      <c r="DI27" t="s">
        <v>259</v>
      </c>
      <c r="DJ27" t="s">
        <v>260</v>
      </c>
      <c r="DK27" t="s">
        <v>261</v>
      </c>
      <c r="DL27" t="s">
        <v>262</v>
      </c>
      <c r="DM27" t="s">
        <v>263</v>
      </c>
      <c r="DN27" t="s">
        <v>264</v>
      </c>
      <c r="DO27" t="s">
        <v>265</v>
      </c>
      <c r="DP27" t="s">
        <v>266</v>
      </c>
      <c r="DQ27" t="s">
        <v>267</v>
      </c>
      <c r="DR27" t="s">
        <v>268</v>
      </c>
      <c r="DS27" t="s">
        <v>269</v>
      </c>
      <c r="DT27" t="s">
        <v>270</v>
      </c>
      <c r="DU27" t="s">
        <v>271</v>
      </c>
      <c r="DV27" t="s">
        <v>272</v>
      </c>
      <c r="DW27" t="s">
        <v>273</v>
      </c>
      <c r="DX27" t="s">
        <v>274</v>
      </c>
      <c r="DY27" t="s">
        <v>275</v>
      </c>
      <c r="DZ27" t="s">
        <v>276</v>
      </c>
      <c r="EA27" t="s">
        <v>277</v>
      </c>
      <c r="EB27" t="s">
        <v>278</v>
      </c>
      <c r="EC27" t="s">
        <v>279</v>
      </c>
      <c r="ED27" t="s">
        <v>280</v>
      </c>
      <c r="EE27" t="s">
        <v>281</v>
      </c>
      <c r="EF27" t="s">
        <v>282</v>
      </c>
      <c r="EG27" t="s">
        <v>283</v>
      </c>
      <c r="EH27" t="s">
        <v>284</v>
      </c>
      <c r="EI27" t="s">
        <v>285</v>
      </c>
      <c r="EJ27" t="s">
        <v>286</v>
      </c>
      <c r="EK27" t="s">
        <v>287</v>
      </c>
      <c r="EL27" t="s">
        <v>288</v>
      </c>
      <c r="EM27" t="s">
        <v>289</v>
      </c>
      <c r="EN27" t="s">
        <v>290</v>
      </c>
      <c r="EO27" t="s">
        <v>291</v>
      </c>
      <c r="EP27" t="s">
        <v>292</v>
      </c>
      <c r="EQ27" t="s">
        <v>293</v>
      </c>
      <c r="ER27" t="s">
        <v>294</v>
      </c>
      <c r="ES27" t="s">
        <v>295</v>
      </c>
      <c r="ET27" t="s">
        <v>296</v>
      </c>
      <c r="EU27" t="s">
        <v>297</v>
      </c>
      <c r="EV27" t="s">
        <v>298</v>
      </c>
      <c r="EW27" t="s">
        <v>299</v>
      </c>
      <c r="EX27" t="s">
        <v>300</v>
      </c>
      <c r="EY27" t="s">
        <v>301</v>
      </c>
      <c r="EZ27" t="s">
        <v>302</v>
      </c>
      <c r="FA27" t="s">
        <v>303</v>
      </c>
      <c r="FB27" t="s">
        <v>304</v>
      </c>
      <c r="FC27" t="s">
        <v>305</v>
      </c>
      <c r="FD27" t="s">
        <v>306</v>
      </c>
      <c r="FE27" t="s">
        <v>307</v>
      </c>
      <c r="FF27" t="s">
        <v>308</v>
      </c>
      <c r="FG27" t="s">
        <v>309</v>
      </c>
      <c r="FH27" t="s">
        <v>310</v>
      </c>
      <c r="FI27" t="s">
        <v>311</v>
      </c>
      <c r="FJ27" t="s">
        <v>312</v>
      </c>
      <c r="FK27" t="s">
        <v>313</v>
      </c>
      <c r="FL27" t="s">
        <v>314</v>
      </c>
      <c r="FM27" t="s">
        <v>315</v>
      </c>
      <c r="FN27" t="s">
        <v>316</v>
      </c>
      <c r="FO27" t="s">
        <v>317</v>
      </c>
      <c r="FP27" t="s">
        <v>318</v>
      </c>
      <c r="FQ27" t="s">
        <v>319</v>
      </c>
      <c r="FR27" t="s">
        <v>320</v>
      </c>
      <c r="FS27" t="s">
        <v>321</v>
      </c>
      <c r="FT27" t="s">
        <v>322</v>
      </c>
      <c r="FU27" t="s">
        <v>323</v>
      </c>
      <c r="FV27" t="s">
        <v>324</v>
      </c>
      <c r="FW27" t="s">
        <v>325</v>
      </c>
      <c r="FX27" t="s">
        <v>326</v>
      </c>
      <c r="FY27" t="s">
        <v>327</v>
      </c>
      <c r="FZ27" t="s">
        <v>328</v>
      </c>
      <c r="GA27" t="s">
        <v>329</v>
      </c>
      <c r="GB27" t="s">
        <v>330</v>
      </c>
      <c r="GC27" t="s">
        <v>331</v>
      </c>
      <c r="GD27" t="s">
        <v>332</v>
      </c>
      <c r="GE27" t="s">
        <v>333</v>
      </c>
      <c r="GF27" t="s">
        <v>334</v>
      </c>
      <c r="GG27" t="s">
        <v>335</v>
      </c>
      <c r="GH27" t="s">
        <v>336</v>
      </c>
      <c r="GI27" t="s">
        <v>337</v>
      </c>
      <c r="GJ27" t="s">
        <v>338</v>
      </c>
      <c r="GK27" t="s">
        <v>339</v>
      </c>
      <c r="GL27" t="s">
        <v>340</v>
      </c>
      <c r="GM27" t="s">
        <v>341</v>
      </c>
      <c r="GN27" t="s">
        <v>342</v>
      </c>
      <c r="GO27" t="s">
        <v>343</v>
      </c>
      <c r="GP27" t="s">
        <v>344</v>
      </c>
      <c r="GQ27" t="s">
        <v>345</v>
      </c>
      <c r="GR27" t="s">
        <v>346</v>
      </c>
      <c r="GS27" t="s">
        <v>347</v>
      </c>
      <c r="GT27" t="s">
        <v>348</v>
      </c>
      <c r="GU27" t="s">
        <v>349</v>
      </c>
      <c r="GV27" t="s">
        <v>350</v>
      </c>
      <c r="GW27" t="s">
        <v>351</v>
      </c>
      <c r="GX27" t="s">
        <v>352</v>
      </c>
      <c r="GY27" t="s">
        <v>353</v>
      </c>
      <c r="GZ27" t="s">
        <v>354</v>
      </c>
      <c r="HA27" t="s">
        <v>355</v>
      </c>
      <c r="HB27" t="s">
        <v>356</v>
      </c>
      <c r="HC27" t="s">
        <v>357</v>
      </c>
      <c r="HD27" t="s">
        <v>358</v>
      </c>
      <c r="HE27" t="s">
        <v>359</v>
      </c>
      <c r="HF27" t="s">
        <v>360</v>
      </c>
      <c r="HG27" t="s">
        <v>361</v>
      </c>
      <c r="HH27" t="s">
        <v>362</v>
      </c>
      <c r="HI27" t="s">
        <v>363</v>
      </c>
      <c r="HJ27" t="s">
        <v>364</v>
      </c>
      <c r="HK27" t="s">
        <v>365</v>
      </c>
      <c r="HL27" t="s">
        <v>366</v>
      </c>
      <c r="HM27" t="s">
        <v>367</v>
      </c>
      <c r="HN27" t="s">
        <v>368</v>
      </c>
      <c r="HO27" t="s">
        <v>369</v>
      </c>
      <c r="HP27" t="s">
        <v>370</v>
      </c>
      <c r="HQ27" t="s">
        <v>371</v>
      </c>
      <c r="HR27" t="s">
        <v>372</v>
      </c>
      <c r="HS27" t="s">
        <v>373</v>
      </c>
      <c r="HT27" t="s">
        <v>374</v>
      </c>
      <c r="HU27" t="s">
        <v>375</v>
      </c>
      <c r="HV27" t="s">
        <v>376</v>
      </c>
      <c r="HW27" t="s">
        <v>377</v>
      </c>
      <c r="HX27" t="s">
        <v>378</v>
      </c>
      <c r="HY27" t="s">
        <v>379</v>
      </c>
      <c r="HZ27" t="s">
        <v>380</v>
      </c>
      <c r="IA27" t="s">
        <v>381</v>
      </c>
    </row>
    <row r="28" spans="1:236">
      <c r="A28">
        <v>650</v>
      </c>
      <c r="B28" s="1">
        <v>-3.2991999999999999E-5</v>
      </c>
      <c r="C28" s="2">
        <f t="shared" si="0"/>
        <v>27.701034993821541</v>
      </c>
      <c r="D28">
        <f t="shared" si="10"/>
        <v>682</v>
      </c>
      <c r="E28" s="1">
        <v>-8.0483000000000005E-6</v>
      </c>
      <c r="F28" s="2">
        <f t="shared" si="1"/>
        <v>6.4405134365419361</v>
      </c>
      <c r="G28">
        <v>670</v>
      </c>
      <c r="H28" s="1">
        <v>-3.6949000000000001E-5</v>
      </c>
      <c r="I28" s="2">
        <f t="shared" si="2"/>
        <v>30.097373324847762</v>
      </c>
      <c r="J28">
        <f t="shared" si="7"/>
        <v>730</v>
      </c>
      <c r="K28" s="1">
        <v>-8.8008000000000005E-6</v>
      </c>
      <c r="L28" s="2">
        <f t="shared" si="3"/>
        <v>6.5796077049336992</v>
      </c>
      <c r="P28">
        <v>1.4564999999999999</v>
      </c>
      <c r="Q28" s="1">
        <v>-8.2345999999999999E-7</v>
      </c>
      <c r="R28" s="1">
        <v>-7.8004999999999995E-7</v>
      </c>
      <c r="S28" s="1">
        <v>-7.3750999999999999E-7</v>
      </c>
      <c r="T28" s="1">
        <v>-6.9609000000000003E-7</v>
      </c>
      <c r="U28" s="1">
        <v>-6.6451000000000001E-7</v>
      </c>
      <c r="V28" s="1">
        <v>-6.3822000000000001E-7</v>
      </c>
      <c r="W28" s="1">
        <v>-6.1226E-7</v>
      </c>
      <c r="X28" s="1">
        <v>-5.8704999999999995E-7</v>
      </c>
      <c r="Y28" s="1">
        <v>-5.6189999999999997E-7</v>
      </c>
      <c r="Z28" s="1">
        <v>-5.3676000000000005E-7</v>
      </c>
      <c r="AA28" s="1">
        <v>-5.1233000000000004E-7</v>
      </c>
      <c r="AB28" s="1">
        <v>-4.8874000000000002E-7</v>
      </c>
      <c r="AC28" s="1">
        <v>-4.6741999999999999E-7</v>
      </c>
      <c r="AD28" s="1">
        <v>-4.6520000000000001E-7</v>
      </c>
      <c r="AE28" s="1">
        <v>-4.6377999999999999E-7</v>
      </c>
      <c r="AF28" s="1">
        <v>-4.6324000000000001E-7</v>
      </c>
      <c r="AG28" s="1">
        <v>-4.6368999999999999E-7</v>
      </c>
      <c r="AH28" s="1">
        <v>-4.6279999999999999E-7</v>
      </c>
      <c r="AI28" s="1">
        <v>-4.6017999999999998E-7</v>
      </c>
      <c r="AJ28" s="1">
        <v>-4.6030000000000001E-7</v>
      </c>
      <c r="AK28" s="1">
        <v>-4.6068999999999998E-7</v>
      </c>
      <c r="AL28" s="1">
        <v>-4.6083999999999999E-7</v>
      </c>
      <c r="AM28" s="1">
        <v>-4.7001000000000001E-7</v>
      </c>
      <c r="AN28" s="1">
        <v>-4.7585999999999997E-7</v>
      </c>
      <c r="AO28" s="1">
        <v>-4.7831E-7</v>
      </c>
      <c r="AP28" s="1">
        <v>-4.8660999999999999E-7</v>
      </c>
      <c r="AQ28" s="1">
        <v>-4.9979999999999996E-7</v>
      </c>
      <c r="AR28" s="1">
        <v>-5.0625000000000002E-7</v>
      </c>
      <c r="AS28" s="1">
        <v>-5.0821999999999998E-7</v>
      </c>
      <c r="AT28" s="1">
        <v>-5.1651000000000001E-7</v>
      </c>
      <c r="AU28" s="1">
        <v>-5.3055000000000005E-7</v>
      </c>
      <c r="AV28" s="1">
        <v>-5.3941000000000004E-7</v>
      </c>
      <c r="AW28" s="1">
        <v>-5.3987000000000003E-7</v>
      </c>
      <c r="AX28" s="1">
        <v>-5.4043000000000003E-7</v>
      </c>
      <c r="AY28" s="1">
        <v>-5.4084999999999998E-7</v>
      </c>
      <c r="AZ28" s="1">
        <v>-5.4115999999999996E-7</v>
      </c>
      <c r="BA28" s="1">
        <v>-5.4160000000000003E-7</v>
      </c>
      <c r="BB28" s="1">
        <v>-5.4226000000000004E-7</v>
      </c>
      <c r="BC28" s="1">
        <v>-5.4323000000000003E-7</v>
      </c>
      <c r="BD28" s="1">
        <v>-5.4460000000000005E-7</v>
      </c>
      <c r="BE28" s="1">
        <v>-5.4641000000000003E-7</v>
      </c>
      <c r="BF28" s="1">
        <v>-6.2274999999999996E-5</v>
      </c>
      <c r="BG28" s="1">
        <v>-6.6564999999999997E-5</v>
      </c>
      <c r="BH28" s="1">
        <v>-7.1117000000000004E-5</v>
      </c>
      <c r="BI28" s="1">
        <v>-7.5921999999999996E-5</v>
      </c>
      <c r="BJ28" s="1">
        <v>-8.0963000000000004E-5</v>
      </c>
      <c r="BK28" s="1">
        <v>-8.6205000000000006E-5</v>
      </c>
      <c r="BL28" s="1">
        <v>-8.7273000000000003E-5</v>
      </c>
      <c r="BM28" s="1">
        <v>-8.8348000000000002E-5</v>
      </c>
      <c r="BN28" s="1">
        <v>-8.9427999999999998E-5</v>
      </c>
      <c r="BO28" s="1">
        <v>-9.0512000000000003E-5</v>
      </c>
      <c r="BP28" s="1">
        <v>-9.1601000000000006E-5</v>
      </c>
      <c r="BQ28" s="1">
        <v>-9.2693000000000002E-5</v>
      </c>
      <c r="BR28" s="1">
        <v>-9.3788000000000004E-5</v>
      </c>
      <c r="BS28" s="1">
        <v>-9.4885999999999999E-5</v>
      </c>
      <c r="BT28" s="1">
        <v>-9.5984999999999997E-5</v>
      </c>
      <c r="BU28" s="1">
        <v>-9.7084999999999996E-5</v>
      </c>
      <c r="BV28" s="1">
        <v>-9.8183999999999994E-5</v>
      </c>
      <c r="BW28" s="1">
        <v>-9.9283000000000005E-5</v>
      </c>
      <c r="BX28" s="1">
        <v>-1.0038E-4</v>
      </c>
      <c r="BY28" s="1">
        <v>-1.0148E-4</v>
      </c>
      <c r="BZ28" s="1">
        <v>-1.0257E-4</v>
      </c>
      <c r="CA28" s="1">
        <v>-1.0365E-4</v>
      </c>
      <c r="CB28" s="1">
        <v>-1.0474E-4</v>
      </c>
      <c r="CC28" s="1">
        <v>-1.0581000000000001E-4</v>
      </c>
      <c r="CD28" s="1">
        <v>-1.0688000000000001E-4</v>
      </c>
      <c r="CE28" s="1">
        <v>-1.0794E-4</v>
      </c>
      <c r="CF28" s="1">
        <v>-1.0898E-4</v>
      </c>
      <c r="CG28" s="1">
        <v>-1.1001999999999999E-4</v>
      </c>
      <c r="CH28" s="1">
        <v>-1.1103999999999999E-4</v>
      </c>
      <c r="CI28" s="1">
        <v>-1.1205999999999999E-4</v>
      </c>
      <c r="CJ28" s="1">
        <v>-1.1305E-4</v>
      </c>
      <c r="CK28" s="1">
        <v>-1.1403E-4</v>
      </c>
      <c r="CL28" s="1">
        <v>-1.1499E-4</v>
      </c>
      <c r="CM28" s="1">
        <v>-1.1594E-4</v>
      </c>
      <c r="CN28" s="1">
        <v>-1.1686E-4</v>
      </c>
      <c r="CO28" s="1">
        <v>-1.1776E-4</v>
      </c>
      <c r="CP28" s="1">
        <v>-1.1864E-4</v>
      </c>
      <c r="CQ28" s="1">
        <v>-1.1949E-4</v>
      </c>
      <c r="CR28" s="1">
        <v>-1.2032E-4</v>
      </c>
      <c r="CS28" s="1">
        <v>-1.2112000000000001E-4</v>
      </c>
      <c r="CT28" s="1">
        <v>-1.2189E-4</v>
      </c>
      <c r="CU28" s="1">
        <v>-1.2263000000000001E-4</v>
      </c>
      <c r="CV28" s="1">
        <v>-1.2333999999999999E-4</v>
      </c>
      <c r="CW28" s="1">
        <v>-1.2401E-4</v>
      </c>
      <c r="CX28" s="1">
        <v>-1.2465999999999999E-4</v>
      </c>
      <c r="CY28">
        <v>-2.3574999999999998E-3</v>
      </c>
      <c r="CZ28">
        <v>-2.3516000000000001E-3</v>
      </c>
      <c r="DA28">
        <v>-2.3457E-3</v>
      </c>
      <c r="DB28">
        <v>-2.3398E-3</v>
      </c>
      <c r="DC28" s="1">
        <v>-6.0101999999999996E-7</v>
      </c>
      <c r="DD28" s="1">
        <v>-6.0129999999999996E-7</v>
      </c>
      <c r="DE28" s="1">
        <v>-6.0154999999999998E-7</v>
      </c>
      <c r="DF28" s="1">
        <v>-6.0177000000000002E-7</v>
      </c>
      <c r="DG28" s="1">
        <v>-6.0197000000000004E-7</v>
      </c>
      <c r="DH28" s="1">
        <v>-6.0213999999999996E-7</v>
      </c>
      <c r="DI28" s="1">
        <v>-6.0203999999999996E-7</v>
      </c>
      <c r="DJ28" s="1">
        <v>-6.0215999999999999E-7</v>
      </c>
      <c r="DK28" s="1">
        <v>-6.0226999999999995E-7</v>
      </c>
      <c r="DL28" s="1">
        <v>-6.0235000000000004E-7</v>
      </c>
      <c r="DM28" s="1">
        <v>-6.0241000000000001E-7</v>
      </c>
      <c r="DN28" s="1">
        <v>-6.0245000000000005E-7</v>
      </c>
      <c r="DO28" s="1">
        <v>-6.0246999999999997E-7</v>
      </c>
      <c r="DP28" s="1">
        <v>-6.0248000000000003E-7</v>
      </c>
      <c r="DQ28" s="1">
        <v>-6.0246999999999997E-7</v>
      </c>
      <c r="DR28" s="1">
        <v>-6.0243999999999999E-7</v>
      </c>
      <c r="DS28" s="1">
        <v>-6.0241000000000001E-7</v>
      </c>
      <c r="DT28" s="1">
        <v>-6.0236E-7</v>
      </c>
      <c r="DU28" s="1">
        <v>-6.0230000000000004E-7</v>
      </c>
      <c r="DV28" s="1">
        <v>-6.0223000000000001E-7</v>
      </c>
      <c r="DW28" s="1">
        <v>-6.0215000000000003E-7</v>
      </c>
      <c r="DX28" s="1">
        <v>-6.0207000000000004E-7</v>
      </c>
      <c r="DY28" s="1">
        <v>-6.0197999999999999E-7</v>
      </c>
      <c r="DZ28" s="1">
        <v>-6.0189000000000005E-7</v>
      </c>
      <c r="EA28" s="1">
        <v>-6.0179000000000004E-7</v>
      </c>
      <c r="EB28" s="1">
        <v>-6.0169999999999999E-7</v>
      </c>
      <c r="EC28" s="1">
        <v>-6.0169999999999999E-7</v>
      </c>
      <c r="ED28" s="1">
        <v>-6.0159999999999999E-7</v>
      </c>
      <c r="EE28" s="1">
        <v>-6.0151000000000004E-7</v>
      </c>
      <c r="EF28" s="1">
        <v>-6.0141999999999999E-7</v>
      </c>
      <c r="EG28" s="1">
        <v>-6.0134000000000001E-7</v>
      </c>
      <c r="EH28" s="1">
        <v>-6.0126999999999998E-7</v>
      </c>
      <c r="EI28" s="1">
        <v>-6.0119999999999996E-7</v>
      </c>
      <c r="EJ28" s="1">
        <v>-6.0113999999999999E-7</v>
      </c>
      <c r="EK28" s="1">
        <v>-6.0108999999999999E-7</v>
      </c>
      <c r="EL28" s="1">
        <v>-6.0105000000000005E-7</v>
      </c>
      <c r="EM28" s="1">
        <v>-6.0101999999999996E-7</v>
      </c>
      <c r="EN28" s="1">
        <v>-6.0100000000000005E-7</v>
      </c>
      <c r="EO28" s="1">
        <v>-6.0100000000000005E-7</v>
      </c>
      <c r="EP28" s="1">
        <v>-6.0101000000000001E-7</v>
      </c>
      <c r="EQ28" s="1">
        <v>-6.0103999999999999E-7</v>
      </c>
      <c r="ER28" s="1">
        <v>-6.0108000000000003E-7</v>
      </c>
      <c r="ES28" s="1">
        <v>-6.0113000000000004E-7</v>
      </c>
      <c r="ET28" s="1">
        <v>-6.0121000000000002E-7</v>
      </c>
      <c r="EU28" s="1">
        <v>-6.0129999999999996E-7</v>
      </c>
      <c r="EV28" s="1">
        <v>-6.0141000000000004E-7</v>
      </c>
      <c r="EW28" s="1">
        <v>-6.0141999999999999E-7</v>
      </c>
      <c r="EX28" s="1">
        <v>-6.0157999999999996E-7</v>
      </c>
      <c r="EY28" s="1">
        <v>-6.0175E-7</v>
      </c>
      <c r="EZ28" s="1">
        <v>-6.0193999999999995E-7</v>
      </c>
      <c r="FA28" s="1">
        <v>-6.0215000000000003E-7</v>
      </c>
      <c r="FB28" s="1">
        <v>-6.0238000000000002E-7</v>
      </c>
      <c r="FC28" s="1">
        <v>-6.0263000000000004E-7</v>
      </c>
      <c r="FD28" s="1">
        <v>-6.0289999999999998E-7</v>
      </c>
      <c r="FE28" s="1">
        <v>-6.0319000000000004E-7</v>
      </c>
      <c r="FF28" s="1">
        <v>-6.0350999999999998E-7</v>
      </c>
      <c r="FG28" s="1">
        <v>-6.0385000000000005E-7</v>
      </c>
      <c r="FH28" s="1">
        <v>-6.0421000000000004E-7</v>
      </c>
      <c r="FI28" s="1">
        <v>-6.0459000000000004E-7</v>
      </c>
      <c r="FJ28" s="1">
        <v>-6.0500000000000003E-7</v>
      </c>
      <c r="FK28" s="1">
        <v>-6.0543000000000004E-7</v>
      </c>
      <c r="FL28" s="1">
        <v>-6.0589000000000003E-7</v>
      </c>
      <c r="FM28" s="1">
        <v>-6.0637000000000005E-7</v>
      </c>
      <c r="FN28" s="1">
        <v>-6.0686999999999998E-7</v>
      </c>
      <c r="FO28" s="1">
        <v>-6.074E-7</v>
      </c>
      <c r="FP28" s="1">
        <v>-6.0795000000000004E-7</v>
      </c>
      <c r="FQ28" s="1">
        <v>-6.0852999999999996E-7</v>
      </c>
      <c r="FR28" s="1">
        <v>-6.0910000000000002E-7</v>
      </c>
      <c r="FS28" s="1">
        <v>-6.0971999999999998E-7</v>
      </c>
      <c r="FT28" s="1">
        <v>-6.1037000000000003E-7</v>
      </c>
      <c r="FU28" s="1">
        <v>-6.1104E-7</v>
      </c>
      <c r="FV28" s="1">
        <v>-6.1174000000000005E-7</v>
      </c>
      <c r="FW28" s="1">
        <v>-6.1246000000000002E-7</v>
      </c>
      <c r="FX28" s="1">
        <v>-6.1320999999999997E-7</v>
      </c>
      <c r="FY28" s="1">
        <v>-6.1398000000000005E-7</v>
      </c>
      <c r="FZ28" s="1">
        <v>-6.1477000000000004E-7</v>
      </c>
      <c r="GA28" s="1">
        <v>-6.1559000000000002E-7</v>
      </c>
      <c r="GB28" s="1">
        <v>-6.1643999999999998E-7</v>
      </c>
      <c r="GC28" s="1">
        <v>-6.173E-7</v>
      </c>
      <c r="GD28" s="1">
        <v>-6.1819000000000001E-7</v>
      </c>
      <c r="GE28" s="1">
        <v>-6.1910999999999999E-7</v>
      </c>
      <c r="GF28" s="1">
        <v>-6.2004000000000004E-7</v>
      </c>
      <c r="GG28" s="1">
        <v>-6.2099999999999996E-7</v>
      </c>
      <c r="GH28" s="1">
        <v>-6.2198000000000001E-7</v>
      </c>
      <c r="GI28" s="1">
        <v>-6.2297999999999998E-7</v>
      </c>
      <c r="GJ28" s="1">
        <v>-6.2401000000000004E-7</v>
      </c>
      <c r="GK28" s="1">
        <v>-6.2504999999999995E-7</v>
      </c>
      <c r="GL28" s="1">
        <v>-6.2612000000000005E-7</v>
      </c>
      <c r="GM28" s="1">
        <v>-6.2725000000000001E-7</v>
      </c>
      <c r="GN28" s="1">
        <v>-6.2836000000000005E-7</v>
      </c>
      <c r="GO28" s="1">
        <v>-6.2948000000000005E-7</v>
      </c>
      <c r="GP28" s="1">
        <v>-6.3063000000000003E-7</v>
      </c>
      <c r="GQ28" s="1">
        <v>-6.3178999999999997E-7</v>
      </c>
      <c r="GR28" s="1">
        <v>-6.3297000000000004E-7</v>
      </c>
      <c r="GS28" s="1">
        <v>-6.3415999999999996E-7</v>
      </c>
      <c r="GT28" s="1">
        <v>-6.3537E-7</v>
      </c>
      <c r="GU28" s="1">
        <v>-6.3659000000000001E-7</v>
      </c>
      <c r="GV28" s="1">
        <v>-6.3783000000000004E-7</v>
      </c>
      <c r="GW28" s="1">
        <v>-6.3908000000000003E-7</v>
      </c>
      <c r="GX28" s="1">
        <v>-6.4036E-7</v>
      </c>
      <c r="GY28" s="1">
        <v>-6.4163000000000001E-7</v>
      </c>
      <c r="GZ28" s="1">
        <v>-6.4290999999999998E-7</v>
      </c>
      <c r="HA28" s="1">
        <v>-6.4420000000000001E-7</v>
      </c>
      <c r="HB28" s="1">
        <v>-6.455E-7</v>
      </c>
      <c r="HC28" s="1">
        <v>-6.4679000000000004E-7</v>
      </c>
      <c r="HD28" s="1">
        <v>-6.4809999999999999E-7</v>
      </c>
      <c r="HE28" s="1">
        <v>-6.4939999999999998E-7</v>
      </c>
      <c r="HF28" s="1">
        <v>-6.5590000000000004E-7</v>
      </c>
      <c r="HG28" s="1">
        <v>-6.6221000000000005E-7</v>
      </c>
      <c r="HH28" s="1">
        <v>-6.6810999999999997E-7</v>
      </c>
      <c r="HI28" s="1">
        <v>-6.7334999999999998E-7</v>
      </c>
      <c r="HJ28" s="1">
        <v>-6.7774999999999999E-7</v>
      </c>
      <c r="HK28" s="1">
        <v>-6.8113000000000001E-7</v>
      </c>
      <c r="HL28" s="1">
        <v>-6.8339999999999999E-7</v>
      </c>
      <c r="HM28" s="1">
        <v>-6.8456000000000004E-7</v>
      </c>
      <c r="HN28" s="1">
        <v>-6.8467999999999996E-7</v>
      </c>
      <c r="HO28" s="1">
        <v>-6.8396999999999995E-7</v>
      </c>
      <c r="HP28" s="1">
        <v>-6.8252000000000005E-7</v>
      </c>
      <c r="HQ28" s="1">
        <v>-6.8060999999999995E-7</v>
      </c>
      <c r="HR28" s="1">
        <v>-6.7846999999999996E-7</v>
      </c>
      <c r="HS28" s="1">
        <v>-6.7632000000000001E-7</v>
      </c>
      <c r="HT28" s="1">
        <v>-6.7426E-7</v>
      </c>
      <c r="HU28" s="1">
        <v>-6.7151999999999997E-7</v>
      </c>
      <c r="HV28" s="1">
        <v>-6.8360999999999997E-7</v>
      </c>
      <c r="HW28" s="1">
        <v>-7.1515000000000005E-7</v>
      </c>
      <c r="HX28" s="1">
        <v>-7.6011999999999995E-7</v>
      </c>
      <c r="HY28" s="1">
        <v>-7.9469000000000003E-7</v>
      </c>
      <c r="HZ28" s="1">
        <v>-7.9065E-7</v>
      </c>
      <c r="IA28" s="1">
        <v>-7.6395999999999997E-7</v>
      </c>
    </row>
    <row r="29" spans="1:236">
      <c r="A29">
        <f>A28+0.2</f>
        <v>650.20000000000005</v>
      </c>
      <c r="B29" s="1">
        <v>-3.3479000000000003E-5</v>
      </c>
      <c r="C29" s="2">
        <f t="shared" si="0"/>
        <v>28.101287693337436</v>
      </c>
      <c r="D29">
        <f t="shared" si="10"/>
        <v>683</v>
      </c>
      <c r="E29" s="1">
        <v>-8.4406000000000001E-6</v>
      </c>
      <c r="F29" s="2">
        <f t="shared" si="1"/>
        <v>6.7445553764732074</v>
      </c>
      <c r="G29">
        <f>G28+0.2</f>
        <v>670.2</v>
      </c>
      <c r="H29" s="1">
        <v>-3.7509999999999998E-5</v>
      </c>
      <c r="I29" s="2">
        <f t="shared" si="2"/>
        <v>30.54522648093106</v>
      </c>
      <c r="J29">
        <f t="shared" si="7"/>
        <v>735</v>
      </c>
      <c r="K29" s="1">
        <v>-1.0966E-5</v>
      </c>
      <c r="L29" s="2">
        <f t="shared" si="3"/>
        <v>8.1425720740571421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>
        <v>-4.5176000000000002E-7</v>
      </c>
      <c r="AW29" s="1">
        <v>-4.5196999999999999E-7</v>
      </c>
      <c r="AX29" s="1">
        <v>-4.5210999999999999E-7</v>
      </c>
      <c r="AY29" s="1">
        <v>-4.5221E-7</v>
      </c>
      <c r="AZ29" s="1">
        <v>-4.5205999999999999E-7</v>
      </c>
      <c r="BA29" s="1">
        <v>-4.5173999999999999E-7</v>
      </c>
      <c r="BB29" s="1">
        <v>-4.5129000000000001E-7</v>
      </c>
      <c r="BC29" s="1">
        <v>-4.5072E-7</v>
      </c>
      <c r="BD29" s="1">
        <v>-4.5012000000000001E-7</v>
      </c>
      <c r="BE29" s="1">
        <v>-4.4957999999999998E-7</v>
      </c>
      <c r="BF29" s="1">
        <v>-4.4915999999999998E-7</v>
      </c>
      <c r="BG29" s="1">
        <v>-4.4883999999999999E-7</v>
      </c>
      <c r="BH29" s="1">
        <v>-4.4882999999999998E-7</v>
      </c>
      <c r="BI29" s="1">
        <v>-4.4971000000000002E-7</v>
      </c>
      <c r="BJ29" s="1">
        <v>-4.5148999999999998E-7</v>
      </c>
      <c r="BK29" s="1">
        <v>-3.7987000000000001E-5</v>
      </c>
      <c r="BL29" s="1">
        <v>-4.0942000000000002E-5</v>
      </c>
      <c r="BM29" s="1">
        <v>-4.4132999999999999E-5</v>
      </c>
      <c r="BN29" s="1">
        <v>-4.7571000000000002E-5</v>
      </c>
      <c r="BO29" s="1">
        <v>-4.8288999999999998E-5</v>
      </c>
      <c r="BP29" s="1">
        <v>-4.9016E-5</v>
      </c>
      <c r="BQ29" s="1">
        <v>-4.9753000000000003E-5</v>
      </c>
      <c r="BR29" s="1">
        <v>-5.0500000000000001E-5</v>
      </c>
      <c r="BS29" s="1">
        <v>-5.1255999999999999E-5</v>
      </c>
      <c r="BT29" s="1">
        <v>-5.2021999999999998E-5</v>
      </c>
      <c r="BU29" s="1">
        <v>-1.8659000000000001E-7</v>
      </c>
      <c r="BV29" s="1">
        <v>-1.8666999999999999E-7</v>
      </c>
      <c r="BW29" s="1">
        <v>-1.8675E-7</v>
      </c>
      <c r="BX29" s="1">
        <v>-1.8683000000000001E-7</v>
      </c>
      <c r="BY29" s="1">
        <v>-1.8691E-7</v>
      </c>
      <c r="BZ29" s="1">
        <v>-1.8699999999999999E-7</v>
      </c>
      <c r="CA29" s="1">
        <v>-1.8708E-7</v>
      </c>
      <c r="CB29" s="1">
        <v>-1.8715999999999999E-7</v>
      </c>
      <c r="CC29" s="1">
        <v>-1.8725000000000001E-7</v>
      </c>
      <c r="CD29" s="1">
        <v>-1.8733E-7</v>
      </c>
      <c r="CE29" s="1">
        <v>-1.8741999999999999E-7</v>
      </c>
      <c r="CF29" s="1">
        <v>-1.8750999999999999E-7</v>
      </c>
      <c r="CG29" s="1">
        <v>-1.8759E-7</v>
      </c>
      <c r="CH29" s="1">
        <v>-1.8768E-7</v>
      </c>
      <c r="CI29" s="1">
        <v>-1.8776999999999999E-7</v>
      </c>
      <c r="CJ29" s="1">
        <v>-1.8785999999999999E-7</v>
      </c>
      <c r="CK29" s="1">
        <v>-1.8796E-7</v>
      </c>
      <c r="CL29" s="1">
        <v>-1.8804999999999999E-7</v>
      </c>
      <c r="CM29" s="1">
        <v>-1.8813999999999999E-7</v>
      </c>
      <c r="CN29" s="1">
        <v>-1.8823000000000001E-7</v>
      </c>
      <c r="CO29" s="1">
        <v>-1.8832000000000001E-7</v>
      </c>
      <c r="CP29" s="1">
        <v>-1.8841E-7</v>
      </c>
      <c r="CQ29" s="1">
        <v>-1.8851000000000001E-7</v>
      </c>
      <c r="CR29" s="1">
        <v>-1.8860000000000001E-7</v>
      </c>
      <c r="CS29" s="1">
        <v>-1.8869E-7</v>
      </c>
      <c r="CT29" s="1">
        <v>-1.8878E-7</v>
      </c>
      <c r="CU29" s="1">
        <v>-1.8888000000000001E-7</v>
      </c>
      <c r="CV29" s="1">
        <v>-1.8897E-7</v>
      </c>
      <c r="CW29">
        <v>-3.1001000000000002E-3</v>
      </c>
      <c r="CX29">
        <v>-3.0921E-3</v>
      </c>
      <c r="CY29" s="1">
        <v>-7.8974999999999995E-5</v>
      </c>
      <c r="CZ29" s="1">
        <v>-7.9849000000000001E-5</v>
      </c>
      <c r="DA29" s="1">
        <v>-8.0712999999999998E-5</v>
      </c>
      <c r="DB29" s="1">
        <v>-8.1567E-5</v>
      </c>
      <c r="DC29" s="1">
        <v>-8.2409000000000003E-5</v>
      </c>
      <c r="DD29" s="1">
        <v>-8.3237000000000003E-5</v>
      </c>
      <c r="DE29" s="1">
        <v>-8.4050999999999999E-5</v>
      </c>
      <c r="DF29" s="1">
        <v>-8.4849E-5</v>
      </c>
      <c r="DG29" s="1">
        <v>-8.5629000000000003E-5</v>
      </c>
      <c r="DH29" s="1">
        <v>-8.6390999999999993E-5</v>
      </c>
      <c r="DI29" s="1">
        <v>-8.7133999999999996E-5</v>
      </c>
      <c r="DJ29" s="1">
        <v>-8.7855000000000005E-5</v>
      </c>
      <c r="DK29" s="1">
        <v>-8.8553000000000004E-5</v>
      </c>
      <c r="DL29" s="1">
        <v>-8.9227000000000005E-5</v>
      </c>
      <c r="DM29" s="1">
        <v>-8.9876000000000005E-5</v>
      </c>
      <c r="DN29" s="1">
        <v>-9.0499000000000002E-5</v>
      </c>
      <c r="DO29" s="1">
        <v>-9.1094000000000006E-5</v>
      </c>
      <c r="DP29">
        <v>-2.9231000000000001E-3</v>
      </c>
      <c r="DQ29">
        <v>-2.9142E-3</v>
      </c>
      <c r="DR29">
        <v>-2.9053999999999998E-3</v>
      </c>
      <c r="DS29">
        <v>-2.8965000000000002E-3</v>
      </c>
      <c r="DT29">
        <v>-2.8876000000000001E-3</v>
      </c>
      <c r="DU29">
        <v>-2.8785999999999998E-3</v>
      </c>
      <c r="DV29">
        <v>-2.8697000000000002E-3</v>
      </c>
      <c r="DW29">
        <v>-2.8606999999999999E-3</v>
      </c>
      <c r="DX29">
        <v>-2.8517E-3</v>
      </c>
      <c r="DY29">
        <v>-2.8425999999999998E-3</v>
      </c>
      <c r="DZ29">
        <v>-2.8335999999999999E-3</v>
      </c>
      <c r="EA29">
        <v>-2.8245000000000002E-3</v>
      </c>
      <c r="EB29">
        <v>-2.8154E-3</v>
      </c>
      <c r="EC29">
        <v>-2.8064000000000001E-3</v>
      </c>
      <c r="ED29">
        <v>-2.7972000000000001E-3</v>
      </c>
      <c r="EE29">
        <v>-2.7881E-3</v>
      </c>
      <c r="EF29">
        <v>-2.7789999999999998E-3</v>
      </c>
      <c r="EG29">
        <v>-2.7699000000000001E-3</v>
      </c>
      <c r="EH29">
        <v>-2.7607999999999999E-3</v>
      </c>
      <c r="EI29">
        <v>-2.7517000000000002E-3</v>
      </c>
      <c r="EJ29">
        <v>-2.7425000000000001E-3</v>
      </c>
      <c r="EK29">
        <v>-2.7334E-3</v>
      </c>
      <c r="EL29">
        <v>-2.7242999999999998E-3</v>
      </c>
      <c r="EM29" s="1">
        <v>-4.8129999999999995E-7</v>
      </c>
      <c r="EN29" s="1">
        <v>-4.8179999999999999E-7</v>
      </c>
      <c r="EO29" s="1">
        <v>-4.8230999999999998E-7</v>
      </c>
      <c r="EP29" s="1">
        <v>-4.8281999999999998E-7</v>
      </c>
      <c r="EQ29" s="1">
        <v>-4.8332000000000002E-7</v>
      </c>
      <c r="ER29" s="1">
        <v>-4.8381999999999995E-7</v>
      </c>
      <c r="ES29" s="1">
        <v>-4.8431000000000003E-7</v>
      </c>
      <c r="ET29" s="1">
        <v>-4.8475999999999995E-7</v>
      </c>
      <c r="EU29" s="1">
        <v>-4.8523999999999997E-7</v>
      </c>
      <c r="EV29" s="1">
        <v>-4.8571999999999998E-7</v>
      </c>
      <c r="EW29" s="1">
        <v>-4.8617999999999998E-7</v>
      </c>
      <c r="EX29" s="1">
        <v>-4.8663999999999997E-7</v>
      </c>
      <c r="EY29" s="1">
        <v>-4.8709E-7</v>
      </c>
      <c r="EZ29" s="1">
        <v>-4.8752999999999997E-7</v>
      </c>
      <c r="FA29" s="1">
        <v>-4.8795999999999998E-7</v>
      </c>
      <c r="FB29" s="1">
        <v>-4.8836999999999997E-7</v>
      </c>
      <c r="FC29" s="1">
        <v>-4.8877E-7</v>
      </c>
      <c r="FD29" s="1">
        <v>-4.8915999999999997E-7</v>
      </c>
      <c r="FE29" s="1">
        <v>-4.8953999999999998E-7</v>
      </c>
      <c r="FF29" s="1">
        <v>-4.8989999999999996E-7</v>
      </c>
      <c r="FG29" s="1">
        <v>-4.9024000000000003E-7</v>
      </c>
      <c r="FH29" s="1">
        <v>-4.9057000000000003E-7</v>
      </c>
      <c r="FI29" s="1">
        <v>-4.9088000000000001E-7</v>
      </c>
      <c r="FJ29" s="1">
        <v>-4.9131999999999998E-7</v>
      </c>
      <c r="FK29" s="1">
        <v>-4.9236999999999995E-7</v>
      </c>
      <c r="FL29" s="1">
        <v>-4.9322999999999998E-7</v>
      </c>
      <c r="FM29" s="1">
        <v>-4.9376999999999995E-7</v>
      </c>
      <c r="FN29" s="1">
        <v>-4.9409E-7</v>
      </c>
      <c r="FO29" s="1">
        <v>-4.9429000000000001E-7</v>
      </c>
      <c r="FP29" s="1">
        <v>-4.9451000000000005E-7</v>
      </c>
      <c r="FQ29" s="1">
        <v>-4.9498E-7</v>
      </c>
      <c r="FR29" s="1">
        <v>-1.2847999999999999E-4</v>
      </c>
      <c r="FS29" s="1">
        <v>-1.2195E-4</v>
      </c>
      <c r="FT29" s="1">
        <v>-1.1584E-4</v>
      </c>
      <c r="FU29" s="1">
        <v>-1.1011E-4</v>
      </c>
      <c r="FV29" s="1">
        <v>-5.0142E-7</v>
      </c>
      <c r="FW29" s="1">
        <v>-5.0386000000000001E-7</v>
      </c>
      <c r="FX29" s="1">
        <v>-5.0664999999999995E-7</v>
      </c>
      <c r="FY29" s="1">
        <v>-5.0968000000000005E-7</v>
      </c>
      <c r="FZ29" s="1">
        <v>-5.1285999999999995E-7</v>
      </c>
      <c r="GA29" s="1">
        <v>-5.1595000000000001E-7</v>
      </c>
      <c r="GB29" s="1">
        <v>-5.1900999999999999E-7</v>
      </c>
      <c r="GC29" s="1">
        <v>-5.2177000000000005E-7</v>
      </c>
      <c r="GD29" s="1">
        <v>-5.2412000000000001E-7</v>
      </c>
      <c r="GE29" s="1">
        <v>-5.2592000000000004E-7</v>
      </c>
      <c r="GF29" s="1">
        <v>-5.2712999999999998E-7</v>
      </c>
      <c r="GG29" s="1">
        <v>-5.2778999999999999E-7</v>
      </c>
      <c r="GH29" s="1">
        <v>-5.2796999999999998E-7</v>
      </c>
      <c r="GI29" s="1">
        <v>-5.2781000000000001E-7</v>
      </c>
      <c r="GJ29" s="1">
        <v>-5.2745999999999999E-7</v>
      </c>
      <c r="GK29" s="1">
        <v>-5.2750999999999999E-7</v>
      </c>
      <c r="GL29" s="1">
        <v>-5.2770000000000005E-7</v>
      </c>
      <c r="GM29" s="1">
        <v>-5.2809000000000001E-7</v>
      </c>
      <c r="GN29" s="1">
        <v>-5.2883999999999996E-7</v>
      </c>
      <c r="GO29" s="1">
        <v>-5.3957999999999997E-7</v>
      </c>
      <c r="GP29" s="1">
        <v>-5.6110000000000001E-7</v>
      </c>
      <c r="GQ29" s="1">
        <v>-5.8039999999999998E-7</v>
      </c>
      <c r="GR29" s="1">
        <v>-5.8294E-7</v>
      </c>
      <c r="GS29" s="1">
        <v>-5.8031000000000004E-7</v>
      </c>
      <c r="GT29" s="1">
        <v>-5.8815000000000004E-7</v>
      </c>
      <c r="GU29" s="1">
        <v>-6.1104999999999996E-7</v>
      </c>
      <c r="GV29" s="1">
        <v>-6.4234000000000002E-7</v>
      </c>
      <c r="GW29" s="1">
        <v>-6.5995000000000003E-7</v>
      </c>
      <c r="GX29" s="1">
        <v>-6.5440999999999999E-7</v>
      </c>
      <c r="GY29" s="1">
        <v>-6.4611999999999996E-7</v>
      </c>
      <c r="GZ29" s="1">
        <v>-6.5148000000000001E-7</v>
      </c>
      <c r="HA29" s="1">
        <v>-6.7232999999999999E-7</v>
      </c>
      <c r="HB29" s="1">
        <v>-7.1012999999999997E-7</v>
      </c>
      <c r="HC29" s="1">
        <v>-7.5017000000000005E-7</v>
      </c>
      <c r="HD29" s="1">
        <v>-7.6268999999999996E-7</v>
      </c>
      <c r="HE29" s="1">
        <v>-7.4267999999999998E-7</v>
      </c>
      <c r="HF29" s="1">
        <v>-7.1976999999999999E-7</v>
      </c>
      <c r="HG29" s="1">
        <v>-7.1272999999999995E-7</v>
      </c>
      <c r="HH29" s="1">
        <v>-7.2531000000000003E-7</v>
      </c>
      <c r="HI29" s="1">
        <v>-7.6038000000000004E-7</v>
      </c>
      <c r="HJ29" s="1">
        <v>-8.1910000000000002E-7</v>
      </c>
      <c r="HK29" s="1">
        <v>-8.8800999999999997E-7</v>
      </c>
      <c r="HL29" s="1">
        <v>-9.2254999999999996E-7</v>
      </c>
      <c r="HM29" s="1">
        <v>-8.9546E-7</v>
      </c>
      <c r="HN29" s="1">
        <v>-8.4569000000000005E-7</v>
      </c>
      <c r="HO29" s="1">
        <v>-8.1613999999999995E-7</v>
      </c>
      <c r="HP29" s="1">
        <v>-8.1253000000000004E-7</v>
      </c>
    </row>
    <row r="30" spans="1:236">
      <c r="A30">
        <f t="shared" ref="A30:A93" si="11">A29+0.2</f>
        <v>650.40000000000009</v>
      </c>
      <c r="B30" s="1">
        <v>-3.3971999999999999E-5</v>
      </c>
      <c r="C30" s="2">
        <f t="shared" si="0"/>
        <v>28.506328909815497</v>
      </c>
      <c r="D30">
        <f t="shared" si="10"/>
        <v>684</v>
      </c>
      <c r="E30" s="1">
        <v>-8.8612000000000008E-6</v>
      </c>
      <c r="F30" s="2">
        <f t="shared" si="1"/>
        <v>7.0702886743017546</v>
      </c>
      <c r="G30">
        <f t="shared" ref="G30:G93" si="12">G29+0.2</f>
        <v>670.40000000000009</v>
      </c>
      <c r="H30" s="1">
        <v>-3.8078999999999999E-5</v>
      </c>
      <c r="I30" s="2">
        <f t="shared" si="2"/>
        <v>30.99932505579952</v>
      </c>
      <c r="J30">
        <f t="shared" si="7"/>
        <v>740</v>
      </c>
      <c r="K30" s="1">
        <v>-1.3919E-5</v>
      </c>
      <c r="L30" s="2">
        <f t="shared" si="3"/>
        <v>10.265427120389189</v>
      </c>
    </row>
    <row r="31" spans="1:236">
      <c r="A31">
        <f t="shared" si="11"/>
        <v>650.60000000000014</v>
      </c>
      <c r="B31" s="1">
        <v>-3.4471999999999998E-5</v>
      </c>
      <c r="C31" s="2">
        <f t="shared" si="0"/>
        <v>28.916993081684588</v>
      </c>
      <c r="D31">
        <f t="shared" si="10"/>
        <v>685</v>
      </c>
      <c r="E31" s="1">
        <v>-9.3124999999999994E-6</v>
      </c>
      <c r="F31" s="2">
        <f t="shared" si="1"/>
        <v>7.419530478832117</v>
      </c>
      <c r="G31">
        <f t="shared" si="12"/>
        <v>670.60000000000014</v>
      </c>
      <c r="H31" s="1">
        <v>-3.8655000000000002E-5</v>
      </c>
      <c r="I31" s="2">
        <f t="shared" si="2"/>
        <v>31.458849625052185</v>
      </c>
      <c r="J31">
        <f t="shared" si="7"/>
        <v>745</v>
      </c>
      <c r="K31" s="1">
        <v>-1.8023E-5</v>
      </c>
      <c r="L31" s="2">
        <f t="shared" si="3"/>
        <v>13.202966425900673</v>
      </c>
    </row>
    <row r="32" spans="1:236">
      <c r="A32">
        <f t="shared" si="11"/>
        <v>650.80000000000018</v>
      </c>
      <c r="B32" s="1">
        <v>-3.4977000000000001E-5</v>
      </c>
      <c r="C32" s="2">
        <f t="shared" si="0"/>
        <v>29.331597831444366</v>
      </c>
      <c r="D32">
        <f t="shared" si="10"/>
        <v>686</v>
      </c>
      <c r="E32" s="1">
        <v>-9.7975999999999992E-6</v>
      </c>
      <c r="F32" s="2">
        <f t="shared" si="1"/>
        <v>7.7946442399346934</v>
      </c>
      <c r="G32">
        <f t="shared" si="12"/>
        <v>670.80000000000018</v>
      </c>
      <c r="H32" s="1">
        <v>-3.9237999999999999E-5</v>
      </c>
      <c r="I32" s="2">
        <f t="shared" si="2"/>
        <v>31.923795335384604</v>
      </c>
      <c r="J32">
        <f t="shared" si="7"/>
        <v>750</v>
      </c>
      <c r="K32" s="1">
        <v>-2.3862999999999998E-5</v>
      </c>
      <c r="L32" s="2">
        <f t="shared" si="3"/>
        <v>17.364588131967999</v>
      </c>
      <c r="AV32" t="s">
        <v>382</v>
      </c>
      <c r="AW32" t="s">
        <v>383</v>
      </c>
      <c r="AX32" t="s">
        <v>384</v>
      </c>
      <c r="AY32" t="s">
        <v>182</v>
      </c>
      <c r="AZ32" t="s">
        <v>385</v>
      </c>
      <c r="BA32" t="s">
        <v>386</v>
      </c>
      <c r="BB32" t="s">
        <v>387</v>
      </c>
      <c r="BC32" t="s">
        <v>388</v>
      </c>
      <c r="BD32" t="s">
        <v>183</v>
      </c>
      <c r="BE32" t="s">
        <v>389</v>
      </c>
      <c r="BF32" t="s">
        <v>390</v>
      </c>
      <c r="BG32" t="s">
        <v>391</v>
      </c>
      <c r="BH32" t="s">
        <v>392</v>
      </c>
      <c r="BI32" t="s">
        <v>184</v>
      </c>
      <c r="BJ32" t="s">
        <v>393</v>
      </c>
      <c r="BK32" t="s">
        <v>394</v>
      </c>
      <c r="BL32" t="s">
        <v>395</v>
      </c>
      <c r="BM32" t="s">
        <v>396</v>
      </c>
      <c r="BN32" t="s">
        <v>185</v>
      </c>
      <c r="BO32" t="s">
        <v>397</v>
      </c>
      <c r="BP32" t="s">
        <v>398</v>
      </c>
      <c r="BQ32" t="s">
        <v>399</v>
      </c>
      <c r="BR32" t="s">
        <v>400</v>
      </c>
      <c r="BS32" t="s">
        <v>401</v>
      </c>
      <c r="BT32" t="s">
        <v>402</v>
      </c>
      <c r="BU32" t="s">
        <v>403</v>
      </c>
      <c r="BV32" t="s">
        <v>404</v>
      </c>
      <c r="BW32" t="s">
        <v>405</v>
      </c>
      <c r="BX32" t="s">
        <v>406</v>
      </c>
      <c r="BY32" t="s">
        <v>407</v>
      </c>
      <c r="BZ32" t="s">
        <v>408</v>
      </c>
      <c r="CA32" t="s">
        <v>409</v>
      </c>
      <c r="CB32" t="s">
        <v>410</v>
      </c>
      <c r="CC32" t="s">
        <v>411</v>
      </c>
      <c r="CD32" t="s">
        <v>412</v>
      </c>
      <c r="CE32" t="s">
        <v>413</v>
      </c>
      <c r="CF32" t="s">
        <v>414</v>
      </c>
      <c r="CG32" t="s">
        <v>415</v>
      </c>
      <c r="CH32" t="s">
        <v>416</v>
      </c>
      <c r="CI32" t="s">
        <v>417</v>
      </c>
      <c r="CJ32" t="s">
        <v>418</v>
      </c>
      <c r="CK32" t="s">
        <v>419</v>
      </c>
      <c r="CL32" t="s">
        <v>420</v>
      </c>
      <c r="CM32" t="s">
        <v>186</v>
      </c>
      <c r="CN32" t="s">
        <v>421</v>
      </c>
      <c r="CO32" t="s">
        <v>422</v>
      </c>
      <c r="CP32" t="s">
        <v>423</v>
      </c>
      <c r="CQ32" t="s">
        <v>424</v>
      </c>
      <c r="CR32" t="s">
        <v>425</v>
      </c>
      <c r="CS32" t="s">
        <v>426</v>
      </c>
      <c r="CT32" t="s">
        <v>427</v>
      </c>
      <c r="CU32" t="s">
        <v>428</v>
      </c>
      <c r="CV32" t="s">
        <v>429</v>
      </c>
      <c r="CW32" t="s">
        <v>430</v>
      </c>
      <c r="CX32" t="s">
        <v>431</v>
      </c>
      <c r="CY32" t="s">
        <v>432</v>
      </c>
      <c r="CZ32" t="s">
        <v>433</v>
      </c>
      <c r="DA32" t="s">
        <v>434</v>
      </c>
      <c r="DB32" t="s">
        <v>435</v>
      </c>
      <c r="DC32" t="s">
        <v>436</v>
      </c>
      <c r="DD32" t="s">
        <v>437</v>
      </c>
      <c r="DE32" t="s">
        <v>438</v>
      </c>
      <c r="DF32" t="s">
        <v>439</v>
      </c>
      <c r="DG32" t="s">
        <v>440</v>
      </c>
      <c r="DH32" t="s">
        <v>441</v>
      </c>
      <c r="DI32" t="s">
        <v>442</v>
      </c>
      <c r="DJ32" t="s">
        <v>443</v>
      </c>
      <c r="DK32" t="s">
        <v>444</v>
      </c>
      <c r="DL32" t="s">
        <v>187</v>
      </c>
      <c r="DM32" t="s">
        <v>445</v>
      </c>
      <c r="DN32" t="s">
        <v>446</v>
      </c>
      <c r="DO32" t="s">
        <v>447</v>
      </c>
      <c r="DP32" t="s">
        <v>448</v>
      </c>
      <c r="DQ32" t="s">
        <v>449</v>
      </c>
      <c r="DR32" t="s">
        <v>450</v>
      </c>
      <c r="DS32" t="s">
        <v>451</v>
      </c>
      <c r="DT32" t="s">
        <v>452</v>
      </c>
      <c r="DU32" t="s">
        <v>453</v>
      </c>
      <c r="DV32" t="s">
        <v>454</v>
      </c>
      <c r="DW32" t="s">
        <v>455</v>
      </c>
      <c r="DX32" t="s">
        <v>456</v>
      </c>
      <c r="DY32" t="s">
        <v>457</v>
      </c>
      <c r="DZ32" t="s">
        <v>458</v>
      </c>
      <c r="EA32" t="s">
        <v>459</v>
      </c>
      <c r="EB32" t="s">
        <v>460</v>
      </c>
      <c r="EC32" t="s">
        <v>461</v>
      </c>
      <c r="ED32" t="s">
        <v>462</v>
      </c>
      <c r="EE32" t="s">
        <v>463</v>
      </c>
      <c r="EF32" t="s">
        <v>464</v>
      </c>
      <c r="EG32" t="s">
        <v>465</v>
      </c>
      <c r="EH32" t="s">
        <v>466</v>
      </c>
      <c r="EI32" t="s">
        <v>467</v>
      </c>
      <c r="EJ32" t="s">
        <v>468</v>
      </c>
      <c r="EK32" t="s">
        <v>188</v>
      </c>
      <c r="EL32" t="s">
        <v>469</v>
      </c>
      <c r="EM32" t="s">
        <v>470</v>
      </c>
      <c r="EN32" t="s">
        <v>471</v>
      </c>
      <c r="EO32" t="s">
        <v>472</v>
      </c>
      <c r="EP32" t="s">
        <v>473</v>
      </c>
      <c r="EQ32" t="s">
        <v>474</v>
      </c>
      <c r="ER32" t="s">
        <v>475</v>
      </c>
      <c r="ES32" t="s">
        <v>476</v>
      </c>
      <c r="ET32" t="s">
        <v>477</v>
      </c>
      <c r="EU32" t="s">
        <v>478</v>
      </c>
      <c r="EV32" t="s">
        <v>479</v>
      </c>
      <c r="EW32" t="s">
        <v>480</v>
      </c>
      <c r="EX32" t="s">
        <v>481</v>
      </c>
      <c r="EY32" t="s">
        <v>482</v>
      </c>
      <c r="EZ32" t="s">
        <v>483</v>
      </c>
      <c r="FA32" t="s">
        <v>484</v>
      </c>
      <c r="FB32" t="s">
        <v>485</v>
      </c>
      <c r="FC32" t="s">
        <v>486</v>
      </c>
      <c r="FD32" t="s">
        <v>487</v>
      </c>
      <c r="FE32" t="s">
        <v>488</v>
      </c>
      <c r="FF32" t="s">
        <v>489</v>
      </c>
      <c r="FG32" t="s">
        <v>490</v>
      </c>
      <c r="FH32" t="s">
        <v>491</v>
      </c>
      <c r="FI32" t="s">
        <v>492</v>
      </c>
      <c r="FJ32" t="s">
        <v>189</v>
      </c>
      <c r="FK32" t="s">
        <v>493</v>
      </c>
      <c r="FL32" t="s">
        <v>494</v>
      </c>
      <c r="FM32" t="s">
        <v>495</v>
      </c>
      <c r="FN32" t="s">
        <v>496</v>
      </c>
      <c r="FO32" t="s">
        <v>190</v>
      </c>
      <c r="FP32" t="s">
        <v>497</v>
      </c>
      <c r="FQ32" t="s">
        <v>498</v>
      </c>
      <c r="FR32" t="s">
        <v>499</v>
      </c>
      <c r="FS32" t="s">
        <v>500</v>
      </c>
      <c r="FT32" t="s">
        <v>191</v>
      </c>
      <c r="FU32" t="s">
        <v>501</v>
      </c>
      <c r="FV32" t="s">
        <v>502</v>
      </c>
      <c r="FW32" t="s">
        <v>503</v>
      </c>
      <c r="FX32" t="s">
        <v>504</v>
      </c>
      <c r="FY32" t="s">
        <v>192</v>
      </c>
      <c r="FZ32" t="s">
        <v>505</v>
      </c>
      <c r="GA32" t="s">
        <v>506</v>
      </c>
      <c r="GB32" t="s">
        <v>507</v>
      </c>
      <c r="GC32" t="s">
        <v>508</v>
      </c>
      <c r="GD32" t="s">
        <v>193</v>
      </c>
      <c r="GE32" t="s">
        <v>509</v>
      </c>
      <c r="GF32" t="s">
        <v>510</v>
      </c>
      <c r="GG32" t="s">
        <v>511</v>
      </c>
      <c r="GH32" t="s">
        <v>512</v>
      </c>
      <c r="GI32" t="s">
        <v>194</v>
      </c>
      <c r="GJ32" t="s">
        <v>195</v>
      </c>
      <c r="GK32" t="s">
        <v>196</v>
      </c>
      <c r="GL32" t="s">
        <v>197</v>
      </c>
      <c r="GM32" t="s">
        <v>198</v>
      </c>
      <c r="GN32" t="s">
        <v>199</v>
      </c>
      <c r="GO32" t="s">
        <v>204</v>
      </c>
      <c r="GP32" t="s">
        <v>209</v>
      </c>
      <c r="GQ32" t="s">
        <v>234</v>
      </c>
      <c r="GR32" t="s">
        <v>259</v>
      </c>
      <c r="GS32" t="s">
        <v>284</v>
      </c>
      <c r="GT32" t="s">
        <v>309</v>
      </c>
      <c r="GU32" t="s">
        <v>334</v>
      </c>
      <c r="GV32" t="s">
        <v>359</v>
      </c>
      <c r="GW32" t="s">
        <v>364</v>
      </c>
      <c r="GX32" t="s">
        <v>369</v>
      </c>
      <c r="GY32" t="s">
        <v>374</v>
      </c>
      <c r="GZ32" t="s">
        <v>375</v>
      </c>
      <c r="HA32" t="s">
        <v>376</v>
      </c>
      <c r="HB32" t="s">
        <v>377</v>
      </c>
      <c r="HC32" t="s">
        <v>378</v>
      </c>
      <c r="HD32" t="s">
        <v>379</v>
      </c>
      <c r="HE32" t="s">
        <v>380</v>
      </c>
      <c r="HF32" t="s">
        <v>381</v>
      </c>
      <c r="HG32" t="s">
        <v>513</v>
      </c>
      <c r="HH32" t="s">
        <v>514</v>
      </c>
      <c r="HI32" t="s">
        <v>515</v>
      </c>
      <c r="HJ32" t="s">
        <v>516</v>
      </c>
      <c r="HK32" t="s">
        <v>517</v>
      </c>
      <c r="HL32" t="s">
        <v>518</v>
      </c>
      <c r="HM32" t="s">
        <v>519</v>
      </c>
      <c r="HN32" t="s">
        <v>520</v>
      </c>
      <c r="HO32" t="s">
        <v>521</v>
      </c>
      <c r="HP32" t="s">
        <v>522</v>
      </c>
    </row>
    <row r="33" spans="1:224">
      <c r="A33">
        <f t="shared" si="11"/>
        <v>651.00000000000023</v>
      </c>
      <c r="B33" s="1">
        <v>-3.5488999999999999E-5</v>
      </c>
      <c r="C33" s="2">
        <f t="shared" si="0"/>
        <v>29.751816205419342</v>
      </c>
      <c r="D33">
        <f t="shared" si="10"/>
        <v>687</v>
      </c>
      <c r="E33" s="1">
        <v>-1.0319999999999999E-5</v>
      </c>
      <c r="F33" s="2">
        <f t="shared" si="1"/>
        <v>8.1982974099563304</v>
      </c>
      <c r="G33">
        <f t="shared" si="12"/>
        <v>671.00000000000023</v>
      </c>
      <c r="H33" s="1">
        <v>-3.9829000000000001E-5</v>
      </c>
      <c r="I33" s="2">
        <f t="shared" si="2"/>
        <v>32.394970690622941</v>
      </c>
      <c r="J33">
        <f t="shared" si="7"/>
        <v>755</v>
      </c>
      <c r="K33" s="1">
        <v>-3.2359E-5</v>
      </c>
      <c r="L33" s="2">
        <f t="shared" si="3"/>
        <v>23.39100325293775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>
        <v>-2.9564E-5</v>
      </c>
      <c r="AW33" s="1">
        <v>-3.1257999999999998E-5</v>
      </c>
      <c r="AX33" s="1">
        <v>-3.3083999999999997E-5</v>
      </c>
      <c r="AY33" s="1">
        <v>-3.5058000000000002E-5</v>
      </c>
      <c r="AZ33" s="1">
        <v>-3.7194999999999999E-5</v>
      </c>
      <c r="BA33" s="1">
        <v>-3.9514000000000001E-5</v>
      </c>
      <c r="BB33" s="1">
        <v>-4.2039000000000002E-5</v>
      </c>
      <c r="BC33" s="1">
        <v>-4.4787999999999999E-5</v>
      </c>
      <c r="BD33" s="1">
        <v>-4.7791999999999999E-5</v>
      </c>
      <c r="BE33" s="1">
        <v>-5.1075000000000001E-5</v>
      </c>
      <c r="BF33" s="1">
        <v>-5.4673000000000003E-5</v>
      </c>
      <c r="BG33" s="1">
        <v>-5.8616000000000003E-5</v>
      </c>
      <c r="BH33" s="1">
        <v>-6.2945000000000001E-5</v>
      </c>
      <c r="BI33" s="1">
        <v>-6.7611E-5</v>
      </c>
      <c r="BJ33" s="1">
        <v>-7.2614999999999995E-5</v>
      </c>
      <c r="BK33" s="1">
        <v>-4.5335999999999998E-7</v>
      </c>
      <c r="BL33" s="1">
        <v>-4.5530000000000001E-7</v>
      </c>
      <c r="BM33" s="1">
        <v>-4.5716E-7</v>
      </c>
      <c r="BN33" s="1">
        <v>-4.5898E-7</v>
      </c>
      <c r="BO33" s="1">
        <v>-4.5933000000000002E-7</v>
      </c>
      <c r="BP33" s="1">
        <v>-4.5966999999999999E-7</v>
      </c>
      <c r="BQ33" s="1">
        <v>-4.5999999999999999E-7</v>
      </c>
      <c r="BR33" s="1">
        <v>-4.6031999999999998E-7</v>
      </c>
      <c r="BS33" s="1">
        <v>-4.6063999999999997E-7</v>
      </c>
      <c r="BT33" s="1">
        <v>-4.6094E-7</v>
      </c>
      <c r="BU33" s="1">
        <v>-5.2797999999999998E-5</v>
      </c>
      <c r="BV33" s="1">
        <v>-5.3582000000000003E-5</v>
      </c>
      <c r="BW33" s="1">
        <v>-5.4376000000000003E-5</v>
      </c>
      <c r="BX33" s="1">
        <v>-5.5179000000000001E-5</v>
      </c>
      <c r="BY33" s="1">
        <v>-5.5991E-5</v>
      </c>
      <c r="BZ33" s="1">
        <v>-5.6813E-5</v>
      </c>
      <c r="CA33" s="1">
        <v>-5.7642000000000001E-5</v>
      </c>
      <c r="CB33" s="1">
        <v>-5.8480000000000003E-5</v>
      </c>
      <c r="CC33" s="1">
        <v>-5.9326000000000001E-5</v>
      </c>
      <c r="CD33" s="1">
        <v>-6.0179000000000001E-5</v>
      </c>
      <c r="CE33" s="1">
        <v>-6.1039999999999998E-5</v>
      </c>
      <c r="CF33" s="1">
        <v>-6.1908000000000004E-5</v>
      </c>
      <c r="CG33" s="1">
        <v>-6.2785000000000003E-5</v>
      </c>
      <c r="CH33" s="1">
        <v>-6.3665999999999997E-5</v>
      </c>
      <c r="CI33" s="1">
        <v>-6.4552000000000001E-5</v>
      </c>
      <c r="CJ33" s="1">
        <v>-6.5443000000000003E-5</v>
      </c>
      <c r="CK33" s="1">
        <v>-6.6338000000000001E-5</v>
      </c>
      <c r="CL33" s="1">
        <v>-6.7237999999999996E-5</v>
      </c>
      <c r="CM33" s="1">
        <v>-6.8140999999999997E-5</v>
      </c>
      <c r="CN33" s="1">
        <v>-6.9047999999999993E-5</v>
      </c>
      <c r="CO33" s="1">
        <v>-6.9956000000000006E-5</v>
      </c>
      <c r="CP33" s="1">
        <v>-7.0865999999999995E-5</v>
      </c>
      <c r="CQ33" s="1">
        <v>-7.1777000000000001E-5</v>
      </c>
      <c r="CR33" s="1">
        <v>-7.2687000000000004E-5</v>
      </c>
      <c r="CS33" s="1">
        <v>-7.3596999999999993E-5</v>
      </c>
      <c r="CT33" s="1">
        <v>-7.4504000000000004E-5</v>
      </c>
      <c r="CU33" s="1">
        <v>-7.5407999999999994E-5</v>
      </c>
      <c r="CV33" s="1">
        <v>-7.6308000000000002E-5</v>
      </c>
      <c r="CW33" s="1">
        <v>-7.7204000000000001E-5</v>
      </c>
      <c r="CX33" s="1">
        <v>-7.8092999999999999E-5</v>
      </c>
      <c r="CY33">
        <v>-3.0839999999999999E-3</v>
      </c>
      <c r="CZ33">
        <v>-3.0758000000000001E-3</v>
      </c>
      <c r="DA33">
        <v>-3.0677E-3</v>
      </c>
      <c r="DB33">
        <v>-3.0593999999999999E-3</v>
      </c>
      <c r="DC33">
        <v>-3.0511000000000002E-3</v>
      </c>
      <c r="DD33">
        <v>-3.0428E-3</v>
      </c>
      <c r="DE33">
        <v>-3.0344E-3</v>
      </c>
      <c r="DF33">
        <v>-3.026E-3</v>
      </c>
      <c r="DG33">
        <v>-3.0175000000000002E-3</v>
      </c>
      <c r="DH33">
        <v>-3.009E-3</v>
      </c>
      <c r="DI33">
        <v>-3.0005000000000001E-3</v>
      </c>
      <c r="DJ33">
        <v>-2.9919E-3</v>
      </c>
      <c r="DK33">
        <v>-2.9832999999999999E-3</v>
      </c>
      <c r="DL33">
        <v>-2.9746999999999998E-3</v>
      </c>
      <c r="DM33">
        <v>-2.9659999999999999E-3</v>
      </c>
      <c r="DN33">
        <v>-2.9572999999999999E-3</v>
      </c>
      <c r="DO33">
        <v>-2.9485000000000002E-3</v>
      </c>
      <c r="DP33">
        <v>-2.9397999999999998E-3</v>
      </c>
      <c r="DQ33" s="1">
        <v>-4.7155000000000001E-7</v>
      </c>
      <c r="DR33" s="1">
        <v>-4.7189000000000003E-7</v>
      </c>
      <c r="DS33" s="1">
        <v>-4.7225000000000001E-7</v>
      </c>
      <c r="DT33" s="1">
        <v>-4.7262000000000001E-7</v>
      </c>
      <c r="DU33" s="1">
        <v>-4.7301000000000002E-7</v>
      </c>
      <c r="DV33" s="1">
        <v>-4.7339999999999999E-7</v>
      </c>
      <c r="DW33" s="1">
        <v>-4.7375999999999998E-7</v>
      </c>
      <c r="DX33" s="1">
        <v>-4.7417999999999998E-7</v>
      </c>
      <c r="DY33" s="1">
        <v>-4.7459999999999997E-7</v>
      </c>
      <c r="DZ33" s="1">
        <v>-4.7502999999999999E-7</v>
      </c>
      <c r="EA33" s="1">
        <v>-4.7547000000000001E-7</v>
      </c>
      <c r="EB33" s="1">
        <v>-4.7593E-7</v>
      </c>
      <c r="EC33" s="1">
        <v>-4.7638999999999999E-7</v>
      </c>
      <c r="ED33" s="1">
        <v>-4.7685000000000004E-7</v>
      </c>
      <c r="EE33" s="1">
        <v>-4.7732999999999995E-7</v>
      </c>
      <c r="EF33" s="1">
        <v>-4.7780999999999996E-7</v>
      </c>
      <c r="EG33" s="1">
        <v>-4.7830000000000004E-7</v>
      </c>
      <c r="EH33" s="1">
        <v>-4.7879000000000001E-7</v>
      </c>
      <c r="EI33" s="1">
        <v>-4.7927999999999999E-7</v>
      </c>
      <c r="EJ33" s="1">
        <v>-4.7978000000000003E-7</v>
      </c>
      <c r="EK33" s="1">
        <v>-4.8029000000000002E-7</v>
      </c>
      <c r="EL33" s="1">
        <v>-4.8078999999999995E-7</v>
      </c>
      <c r="EM33">
        <v>-2.7152000000000001E-3</v>
      </c>
      <c r="EN33">
        <v>-2.7062000000000002E-3</v>
      </c>
      <c r="EO33" s="1">
        <v>-2.2028E-4</v>
      </c>
      <c r="EP33" s="1">
        <v>-2.1973000000000001E-4</v>
      </c>
      <c r="EQ33" s="1">
        <v>-2.1908999999999999E-4</v>
      </c>
      <c r="ER33" s="1">
        <v>-2.1835999999999999E-4</v>
      </c>
      <c r="ES33" s="1">
        <v>-2.1753000000000001E-4</v>
      </c>
      <c r="ET33" s="1">
        <v>-2.1662999999999999E-4</v>
      </c>
      <c r="EU33" s="1">
        <v>-2.1565000000000001E-4</v>
      </c>
      <c r="EV33" s="1">
        <v>-2.1458999999999999E-4</v>
      </c>
      <c r="EW33" s="1">
        <v>-2.1346000000000001E-4</v>
      </c>
      <c r="EX33" s="1">
        <v>-2.1226E-4</v>
      </c>
      <c r="EY33" s="1">
        <v>-2.1100000000000001E-4</v>
      </c>
      <c r="EZ33" s="1">
        <v>-2.0968000000000001E-4</v>
      </c>
      <c r="FA33" s="1">
        <v>-2.0829999999999999E-4</v>
      </c>
      <c r="FB33" s="1">
        <v>-2.0687E-4</v>
      </c>
      <c r="FC33" s="1">
        <v>-2.0540000000000001E-4</v>
      </c>
      <c r="FD33" s="1">
        <v>-2.0388000000000001E-4</v>
      </c>
      <c r="FE33" s="1">
        <v>-2.0232E-4</v>
      </c>
      <c r="FF33" s="1">
        <v>-2.0071999999999999E-4</v>
      </c>
      <c r="FG33" s="1">
        <v>-1.9909999999999999E-4</v>
      </c>
      <c r="FH33" s="1">
        <v>-1.9744000000000001E-4</v>
      </c>
      <c r="FI33" s="1">
        <v>-1.9576000000000001E-4</v>
      </c>
      <c r="FJ33" s="1">
        <v>-1.9406E-4</v>
      </c>
      <c r="FK33" s="1">
        <v>-1.853E-4</v>
      </c>
      <c r="FL33" s="1">
        <v>-1.7637999999999999E-4</v>
      </c>
      <c r="FM33" s="1">
        <v>-1.6752999999999999E-4</v>
      </c>
      <c r="FN33" s="1">
        <v>-1.5893E-4</v>
      </c>
      <c r="FO33" s="1">
        <v>-1.5066999999999999E-4</v>
      </c>
      <c r="FP33" s="1">
        <v>-1.4283000000000001E-4</v>
      </c>
      <c r="FQ33" s="1">
        <v>-1.3543E-4</v>
      </c>
      <c r="FR33" s="1">
        <v>-4.9556999999999998E-7</v>
      </c>
      <c r="FS33" s="1">
        <v>-4.9648000000000001E-7</v>
      </c>
      <c r="FT33" s="1">
        <v>-4.9770000000000002E-7</v>
      </c>
      <c r="FU33" s="1">
        <v>-4.9935999999999999E-7</v>
      </c>
      <c r="FV33" s="1">
        <v>-1.0475E-4</v>
      </c>
      <c r="FW33" s="1">
        <v>-9.9720000000000001E-5</v>
      </c>
      <c r="FX33" s="1">
        <v>-9.501E-5</v>
      </c>
      <c r="FY33" s="1">
        <v>-9.0600999999999995E-5</v>
      </c>
      <c r="FZ33" s="1">
        <v>-8.6477000000000006E-5</v>
      </c>
      <c r="GA33" s="1">
        <v>-8.2626999999999993E-5</v>
      </c>
      <c r="GB33" s="1">
        <v>-7.9030999999999996E-5</v>
      </c>
      <c r="GC33" s="1">
        <v>-7.5679000000000005E-5</v>
      </c>
      <c r="GD33" s="1">
        <v>-7.2558000000000006E-5</v>
      </c>
      <c r="GE33" s="1">
        <v>-6.9653000000000005E-5</v>
      </c>
      <c r="GF33" s="1">
        <v>-6.6952000000000005E-5</v>
      </c>
      <c r="GG33" s="1">
        <v>-6.4442000000000004E-5</v>
      </c>
      <c r="GH33" s="1">
        <v>-6.2108999999999998E-5</v>
      </c>
      <c r="GI33" s="1">
        <v>-5.9939999999999999E-5</v>
      </c>
      <c r="GJ33" s="1">
        <v>-5.7921999999999999E-5</v>
      </c>
      <c r="GK33" s="1">
        <v>-5.6127E-5</v>
      </c>
      <c r="GL33" s="1">
        <v>-5.4449E-5</v>
      </c>
      <c r="GM33" s="1">
        <v>-5.2873E-5</v>
      </c>
      <c r="GN33" s="1">
        <v>-5.1388000000000003E-5</v>
      </c>
      <c r="GO33" s="1">
        <v>-4.494E-5</v>
      </c>
      <c r="GP33" s="1">
        <v>-3.9678000000000002E-5</v>
      </c>
      <c r="GQ33" s="1">
        <v>-3.5584999999999999E-5</v>
      </c>
      <c r="GR33" s="1">
        <v>-3.2601000000000002E-5</v>
      </c>
      <c r="GS33" s="1">
        <v>-3.0454E-5</v>
      </c>
      <c r="GT33" s="1">
        <v>-2.8631000000000001E-5</v>
      </c>
      <c r="GU33" s="1">
        <v>-2.6784E-5</v>
      </c>
      <c r="GV33" s="1">
        <v>-2.5145000000000001E-5</v>
      </c>
      <c r="GW33" s="1">
        <v>-2.3938999999999999E-5</v>
      </c>
      <c r="GX33" s="1">
        <v>-2.3193999999999998E-5</v>
      </c>
      <c r="GY33" s="1">
        <v>-2.2804999999999999E-5</v>
      </c>
      <c r="GZ33" s="1">
        <v>-2.2410999999999999E-5</v>
      </c>
      <c r="HA33" s="1">
        <v>-2.1637E-5</v>
      </c>
      <c r="HB33" s="1">
        <v>-2.0727E-5</v>
      </c>
      <c r="HC33" s="1">
        <v>-2.0018999999999999E-5</v>
      </c>
      <c r="HD33" s="1">
        <v>-1.9616999999999999E-5</v>
      </c>
      <c r="HE33" s="1">
        <v>-1.9547000000000001E-5</v>
      </c>
      <c r="HF33" s="1">
        <v>-1.9791000000000001E-5</v>
      </c>
      <c r="HG33" s="1">
        <v>-2.0112999999999999E-5</v>
      </c>
      <c r="HH33" s="1">
        <v>-2.0007E-5</v>
      </c>
      <c r="HI33" s="1">
        <v>-1.9389E-5</v>
      </c>
      <c r="HJ33" s="1">
        <v>-1.8723E-5</v>
      </c>
      <c r="HK33" s="1">
        <v>-1.8287E-5</v>
      </c>
      <c r="HL33" s="1">
        <v>-1.8131E-5</v>
      </c>
      <c r="HM33" s="1">
        <v>-1.8267E-5</v>
      </c>
      <c r="HN33" s="1">
        <v>-1.8737999999999999E-5</v>
      </c>
      <c r="HO33" s="1">
        <v>-1.9673E-5</v>
      </c>
      <c r="HP33" s="1">
        <v>-2.0781999999999999E-5</v>
      </c>
    </row>
    <row r="34" spans="1:224">
      <c r="A34">
        <f t="shared" si="11"/>
        <v>651.20000000000027</v>
      </c>
      <c r="B34" s="1">
        <v>-3.6006000000000001E-5</v>
      </c>
      <c r="C34" s="2">
        <f t="shared" si="0"/>
        <v>30.175966868108095</v>
      </c>
      <c r="D34">
        <f t="shared" si="10"/>
        <v>688</v>
      </c>
      <c r="E34" s="1">
        <v>-1.0882E-5</v>
      </c>
      <c r="F34" s="2">
        <f t="shared" si="1"/>
        <v>8.6321900280000019</v>
      </c>
      <c r="G34">
        <f t="shared" si="12"/>
        <v>671.20000000000027</v>
      </c>
      <c r="H34" s="1">
        <v>-4.0426000000000002E-5</v>
      </c>
      <c r="I34" s="2">
        <f t="shared" si="2"/>
        <v>32.870743903980923</v>
      </c>
      <c r="J34">
        <v>756</v>
      </c>
      <c r="K34" s="1">
        <v>-3.4489000000000001E-5</v>
      </c>
      <c r="L34" s="2">
        <f t="shared" si="3"/>
        <v>24.897716399111115</v>
      </c>
    </row>
    <row r="35" spans="1:224">
      <c r="A35">
        <f t="shared" si="11"/>
        <v>651.40000000000032</v>
      </c>
      <c r="B35" s="1">
        <v>-3.6529000000000002E-5</v>
      </c>
      <c r="C35" s="2">
        <f t="shared" si="0"/>
        <v>30.604884021811472</v>
      </c>
      <c r="D35">
        <f t="shared" si="10"/>
        <v>689</v>
      </c>
      <c r="E35" s="1">
        <v>-1.1488000000000001E-5</v>
      </c>
      <c r="F35" s="2">
        <f t="shared" si="1"/>
        <v>9.099675679210451</v>
      </c>
      <c r="G35">
        <f t="shared" si="12"/>
        <v>671.40000000000032</v>
      </c>
      <c r="H35" s="1">
        <v>-4.1029999999999998E-5</v>
      </c>
      <c r="I35" s="2">
        <f t="shared" si="2"/>
        <v>33.351923733333315</v>
      </c>
      <c r="J35">
        <f>J34+1</f>
        <v>757</v>
      </c>
      <c r="K35" s="1">
        <v>-3.6748999999999997E-5</v>
      </c>
      <c r="L35" s="2">
        <f t="shared" si="3"/>
        <v>26.494172228861292</v>
      </c>
    </row>
    <row r="36" spans="1:224">
      <c r="A36">
        <f t="shared" si="11"/>
        <v>651.60000000000036</v>
      </c>
      <c r="B36" s="1">
        <v>-3.7057000000000001E-5</v>
      </c>
      <c r="C36" s="2">
        <f t="shared" si="0"/>
        <v>31.037725710349893</v>
      </c>
      <c r="D36">
        <f t="shared" si="10"/>
        <v>690</v>
      </c>
      <c r="E36" s="1">
        <v>-1.2143999999999999E-5</v>
      </c>
      <c r="F36" s="2">
        <f t="shared" si="1"/>
        <v>9.6053540351999995</v>
      </c>
      <c r="G36">
        <f t="shared" si="12"/>
        <v>671.60000000000036</v>
      </c>
      <c r="H36" s="1">
        <v>-4.1641000000000003E-5</v>
      </c>
      <c r="I36" s="2">
        <f t="shared" si="2"/>
        <v>33.838505348469312</v>
      </c>
      <c r="J36">
        <f t="shared" ref="J36:J46" si="13">J35+1</f>
        <v>758</v>
      </c>
      <c r="K36" s="1">
        <v>-3.9187999999999998E-5</v>
      </c>
      <c r="L36" s="2">
        <f t="shared" si="3"/>
        <v>28.215295479387859</v>
      </c>
    </row>
    <row r="37" spans="1:224">
      <c r="A37">
        <f t="shared" si="11"/>
        <v>651.80000000000041</v>
      </c>
      <c r="B37" s="1">
        <v>-3.7589999999999998E-5</v>
      </c>
      <c r="C37" s="2">
        <f t="shared" si="0"/>
        <v>31.474488321080067</v>
      </c>
      <c r="D37">
        <f t="shared" si="10"/>
        <v>691</v>
      </c>
      <c r="E37" s="1">
        <v>-1.2852E-5</v>
      </c>
      <c r="F37" s="2">
        <f t="shared" si="1"/>
        <v>10.15063890116353</v>
      </c>
      <c r="G37">
        <f t="shared" si="12"/>
        <v>671.80000000000041</v>
      </c>
      <c r="H37" s="1">
        <v>-4.2259000000000003E-5</v>
      </c>
      <c r="I37" s="2">
        <f t="shared" si="2"/>
        <v>34.330483924930014</v>
      </c>
      <c r="J37">
        <f t="shared" si="13"/>
        <v>759</v>
      </c>
      <c r="K37" s="1">
        <v>-4.1814000000000003E-5</v>
      </c>
      <c r="L37" s="2">
        <f t="shared" si="3"/>
        <v>30.066345792</v>
      </c>
    </row>
    <row r="38" spans="1:224">
      <c r="A38">
        <f t="shared" si="11"/>
        <v>652.00000000000045</v>
      </c>
      <c r="B38" s="1">
        <v>-3.8127999999999998E-5</v>
      </c>
      <c r="C38" s="2">
        <f t="shared" si="0"/>
        <v>31.915168245791389</v>
      </c>
      <c r="D38">
        <f t="shared" si="10"/>
        <v>692</v>
      </c>
      <c r="E38" s="1">
        <v>-1.3619E-5</v>
      </c>
      <c r="F38" s="2">
        <f t="shared" si="1"/>
        <v>10.740879253595374</v>
      </c>
      <c r="G38">
        <f t="shared" si="12"/>
        <v>672.00000000000045</v>
      </c>
      <c r="H38" s="1">
        <v>-4.2883000000000003E-5</v>
      </c>
      <c r="I38" s="2">
        <f t="shared" si="2"/>
        <v>34.82704250299998</v>
      </c>
      <c r="J38">
        <f t="shared" si="13"/>
        <v>760</v>
      </c>
      <c r="K38" s="1">
        <v>-4.4644000000000001E-5</v>
      </c>
      <c r="L38" s="2">
        <f t="shared" si="3"/>
        <v>32.059018058273686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</row>
    <row r="39" spans="1:224">
      <c r="A39">
        <f t="shared" si="11"/>
        <v>652.2000000000005</v>
      </c>
      <c r="B39" s="1">
        <v>-3.8671000000000003E-5</v>
      </c>
      <c r="C39" s="2">
        <f t="shared" si="0"/>
        <v>32.359761880699146</v>
      </c>
      <c r="D39">
        <f t="shared" si="10"/>
        <v>693</v>
      </c>
      <c r="E39" s="1">
        <v>-1.4450999999999999E-5</v>
      </c>
      <c r="F39" s="2">
        <f t="shared" si="1"/>
        <v>11.380605664000001</v>
      </c>
      <c r="G39">
        <f t="shared" si="12"/>
        <v>672.2000000000005</v>
      </c>
      <c r="H39" s="1">
        <v>-4.3511999999999999E-5</v>
      </c>
      <c r="I39" s="2">
        <f t="shared" si="2"/>
        <v>35.327365095245433</v>
      </c>
      <c r="J39">
        <f t="shared" si="13"/>
        <v>761</v>
      </c>
      <c r="K39" s="1">
        <v>-4.7689999999999999E-5</v>
      </c>
      <c r="L39" s="2">
        <f t="shared" si="3"/>
        <v>34.201359898659661</v>
      </c>
    </row>
    <row r="40" spans="1:224">
      <c r="A40">
        <f t="shared" si="11"/>
        <v>652.40000000000055</v>
      </c>
      <c r="B40" s="1">
        <v>-3.9218000000000003E-5</v>
      </c>
      <c r="C40" s="2">
        <f t="shared" si="0"/>
        <v>32.80742908635191</v>
      </c>
      <c r="D40">
        <f t="shared" si="10"/>
        <v>694</v>
      </c>
      <c r="E40" s="1">
        <v>-1.5353999999999999E-5</v>
      </c>
      <c r="F40" s="2">
        <f t="shared" si="1"/>
        <v>12.074322591077809</v>
      </c>
      <c r="G40">
        <f t="shared" si="12"/>
        <v>672.40000000000055</v>
      </c>
      <c r="H40" s="1">
        <v>-4.4147999999999998E-5</v>
      </c>
      <c r="I40" s="2">
        <f t="shared" si="2"/>
        <v>35.83307165867933</v>
      </c>
      <c r="J40">
        <f t="shared" si="13"/>
        <v>762</v>
      </c>
      <c r="K40" s="1">
        <v>-5.0964999999999997E-5</v>
      </c>
      <c r="L40" s="2">
        <f t="shared" si="3"/>
        <v>36.502092907716538</v>
      </c>
    </row>
    <row r="41" spans="1:224">
      <c r="A41">
        <f t="shared" si="11"/>
        <v>652.60000000000059</v>
      </c>
      <c r="B41" s="1">
        <v>-3.9768999999999998E-5</v>
      </c>
      <c r="C41" s="2">
        <f t="shared" si="0"/>
        <v>33.258167036910784</v>
      </c>
      <c r="D41">
        <f t="shared" si="10"/>
        <v>695</v>
      </c>
      <c r="E41" s="1">
        <v>-1.6334999999999999E-5</v>
      </c>
      <c r="F41" s="2">
        <f t="shared" si="1"/>
        <v>12.827293832978416</v>
      </c>
      <c r="G41">
        <f t="shared" si="12"/>
        <v>672.60000000000059</v>
      </c>
      <c r="H41" s="1">
        <v>-4.4789000000000001E-5</v>
      </c>
      <c r="I41" s="2">
        <f t="shared" si="2"/>
        <v>36.342534557430838</v>
      </c>
      <c r="J41">
        <f t="shared" si="13"/>
        <v>763</v>
      </c>
      <c r="K41" s="1">
        <v>-5.4481000000000002E-5</v>
      </c>
      <c r="L41" s="2">
        <f t="shared" si="3"/>
        <v>38.969177677211007</v>
      </c>
    </row>
    <row r="42" spans="1:224">
      <c r="A42">
        <f>A41+0.2</f>
        <v>652.80000000000064</v>
      </c>
      <c r="B42" s="1">
        <v>-4.0324000000000002E-5</v>
      </c>
      <c r="C42" s="2">
        <f t="shared" si="0"/>
        <v>33.711972909999972</v>
      </c>
      <c r="D42">
        <f t="shared" si="10"/>
        <v>696</v>
      </c>
      <c r="E42" s="1">
        <v>-1.7402999999999999E-5</v>
      </c>
      <c r="F42" s="2">
        <f t="shared" si="1"/>
        <v>13.646321208413791</v>
      </c>
      <c r="G42">
        <f t="shared" si="12"/>
        <v>672.80000000000064</v>
      </c>
      <c r="H42" s="1">
        <v>-4.5435999999999997E-5</v>
      </c>
      <c r="I42" s="2">
        <f t="shared" si="2"/>
        <v>36.85656161693219</v>
      </c>
      <c r="J42">
        <f t="shared" si="13"/>
        <v>764</v>
      </c>
      <c r="K42" s="1">
        <v>-5.8248999999999997E-5</v>
      </c>
      <c r="L42" s="2">
        <f t="shared" si="3"/>
        <v>41.609818776502614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</row>
    <row r="43" spans="1:224">
      <c r="A43">
        <f t="shared" si="11"/>
        <v>653.00000000000068</v>
      </c>
      <c r="B43" s="1">
        <v>-4.0881999999999999E-5</v>
      </c>
      <c r="C43" s="2">
        <f t="shared" si="0"/>
        <v>34.168008115258772</v>
      </c>
      <c r="D43">
        <f t="shared" si="10"/>
        <v>697</v>
      </c>
      <c r="E43" s="1">
        <v>-1.8566000000000001E-5</v>
      </c>
      <c r="F43" s="2">
        <f t="shared" si="1"/>
        <v>14.537384490146342</v>
      </c>
      <c r="G43">
        <f t="shared" si="12"/>
        <v>673.00000000000068</v>
      </c>
      <c r="H43" s="1">
        <v>-4.6087000000000001E-5</v>
      </c>
      <c r="I43" s="2">
        <f t="shared" si="2"/>
        <v>37.373526899589862</v>
      </c>
      <c r="J43">
        <f t="shared" si="13"/>
        <v>765</v>
      </c>
      <c r="K43" s="1">
        <v>-6.2274999999999996E-5</v>
      </c>
      <c r="L43" s="2">
        <f t="shared" si="3"/>
        <v>44.427616053333331</v>
      </c>
    </row>
    <row r="44" spans="1:224">
      <c r="A44">
        <f t="shared" si="11"/>
        <v>653.20000000000073</v>
      </c>
      <c r="B44" s="1">
        <v>-4.1442000000000001E-5</v>
      </c>
      <c r="C44" s="2">
        <f t="shared" si="0"/>
        <v>34.625435089381469</v>
      </c>
      <c r="D44">
        <f t="shared" si="10"/>
        <v>698</v>
      </c>
      <c r="E44" s="1">
        <v>-1.9837E-5</v>
      </c>
      <c r="F44" s="2">
        <f t="shared" si="1"/>
        <v>15.510338629547277</v>
      </c>
      <c r="G44">
        <f t="shared" si="12"/>
        <v>673.20000000000073</v>
      </c>
      <c r="H44" s="1">
        <v>-4.6743000000000003E-5</v>
      </c>
      <c r="I44" s="2">
        <f t="shared" si="2"/>
        <v>37.89423847999997</v>
      </c>
      <c r="J44">
        <f t="shared" si="13"/>
        <v>766</v>
      </c>
      <c r="K44" s="1">
        <v>-6.6564999999999997E-5</v>
      </c>
      <c r="L44" s="2">
        <f t="shared" si="3"/>
        <v>47.426150557284593</v>
      </c>
    </row>
    <row r="45" spans="1:224">
      <c r="A45">
        <f t="shared" si="11"/>
        <v>653.40000000000077</v>
      </c>
      <c r="B45" s="1">
        <v>-4.2005000000000002E-5</v>
      </c>
      <c r="C45" s="2">
        <f t="shared" si="0"/>
        <v>35.085087814141374</v>
      </c>
      <c r="D45">
        <f t="shared" si="10"/>
        <v>699</v>
      </c>
      <c r="E45" s="1">
        <v>-2.1223E-5</v>
      </c>
      <c r="F45" s="2">
        <f t="shared" si="1"/>
        <v>16.570297558935621</v>
      </c>
      <c r="G45">
        <f t="shared" si="12"/>
        <v>673.40000000000077</v>
      </c>
      <c r="H45" s="1">
        <v>-4.7403E-5</v>
      </c>
      <c r="I45" s="2">
        <f t="shared" si="2"/>
        <v>38.417882567650686</v>
      </c>
      <c r="J45">
        <f>J44+1</f>
        <v>767</v>
      </c>
      <c r="K45" s="1">
        <v>-7.1117000000000004E-5</v>
      </c>
      <c r="L45" s="2">
        <f t="shared" si="3"/>
        <v>50.603292263342901</v>
      </c>
    </row>
    <row r="46" spans="1:224">
      <c r="A46">
        <f t="shared" si="11"/>
        <v>653.60000000000082</v>
      </c>
      <c r="B46" s="1">
        <v>-4.2570000000000001E-5</v>
      </c>
      <c r="C46" s="2">
        <f t="shared" si="0"/>
        <v>35.546129242105224</v>
      </c>
      <c r="D46">
        <f t="shared" si="10"/>
        <v>700</v>
      </c>
      <c r="E46" s="1">
        <v>-2.2739999999999999E-5</v>
      </c>
      <c r="F46" s="2">
        <f t="shared" si="1"/>
        <v>17.729362886400001</v>
      </c>
      <c r="G46">
        <f t="shared" si="12"/>
        <v>673.60000000000082</v>
      </c>
      <c r="H46" s="1">
        <v>-4.8066999999999999E-5</v>
      </c>
      <c r="I46" s="2">
        <f t="shared" si="2"/>
        <v>38.944456550451264</v>
      </c>
      <c r="J46">
        <f t="shared" si="13"/>
        <v>768</v>
      </c>
      <c r="K46" s="1">
        <v>-7.5921999999999996E-5</v>
      </c>
      <c r="L46" s="2">
        <f t="shared" si="3"/>
        <v>53.951947876749998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</row>
    <row r="47" spans="1:224">
      <c r="A47">
        <f t="shared" si="11"/>
        <v>653.80000000000086</v>
      </c>
      <c r="B47" s="1">
        <v>-4.3136999999999997E-5</v>
      </c>
      <c r="C47" s="2">
        <f t="shared" si="0"/>
        <v>36.008558098843636</v>
      </c>
      <c r="D47">
        <f t="shared" si="10"/>
        <v>701</v>
      </c>
      <c r="E47" s="1">
        <v>-2.44E-5</v>
      </c>
      <c r="F47" s="2">
        <f t="shared" si="1"/>
        <v>18.99645299400856</v>
      </c>
      <c r="G47">
        <f t="shared" si="12"/>
        <v>673.80000000000086</v>
      </c>
      <c r="H47" s="1">
        <v>-4.8735E-5</v>
      </c>
      <c r="I47" s="2">
        <f t="shared" si="2"/>
        <v>39.473957819412234</v>
      </c>
      <c r="J47">
        <f>J46+1</f>
        <v>769</v>
      </c>
      <c r="K47" s="1">
        <v>-8.0963000000000004E-5</v>
      </c>
      <c r="L47" s="2">
        <f t="shared" si="3"/>
        <v>57.459383404650197</v>
      </c>
    </row>
    <row r="48" spans="1:224">
      <c r="A48">
        <f t="shared" si="11"/>
        <v>654.00000000000091</v>
      </c>
      <c r="B48" s="1">
        <v>-4.3704E-5</v>
      </c>
      <c r="C48" s="2">
        <f t="shared" si="0"/>
        <v>36.470704124477017</v>
      </c>
      <c r="D48">
        <f t="shared" si="10"/>
        <v>702</v>
      </c>
      <c r="E48" s="1">
        <v>-2.6217999999999999E-5</v>
      </c>
      <c r="F48" s="2">
        <f t="shared" si="1"/>
        <v>20.382767749196582</v>
      </c>
      <c r="G48">
        <f t="shared" si="12"/>
        <v>674.00000000000091</v>
      </c>
      <c r="H48" s="1">
        <v>-4.9404000000000003E-5</v>
      </c>
      <c r="I48" s="2">
        <f t="shared" si="2"/>
        <v>40.003954575382735</v>
      </c>
      <c r="J48">
        <v>770</v>
      </c>
      <c r="K48" s="1">
        <v>-8.6205000000000006E-5</v>
      </c>
      <c r="L48" s="2">
        <f t="shared" si="3"/>
        <v>61.100173008000006</v>
      </c>
    </row>
    <row r="49" spans="1:267">
      <c r="A49">
        <f>A48+0.2</f>
        <v>654.20000000000095</v>
      </c>
      <c r="B49" s="1">
        <v>-4.4270999999999997E-5</v>
      </c>
      <c r="C49" s="2">
        <f t="shared" si="0"/>
        <v>36.932567578404104</v>
      </c>
      <c r="D49">
        <f t="shared" si="10"/>
        <v>703</v>
      </c>
      <c r="E49" s="1">
        <v>-2.8211000000000001E-5</v>
      </c>
      <c r="F49" s="2">
        <f t="shared" si="1"/>
        <v>21.900995949746797</v>
      </c>
      <c r="G49">
        <f t="shared" si="12"/>
        <v>674.20000000000095</v>
      </c>
      <c r="H49" s="1">
        <v>-5.0076E-5</v>
      </c>
      <c r="I49" s="2">
        <f t="shared" si="2"/>
        <v>40.536065359169328</v>
      </c>
      <c r="J49">
        <f>J48+0.2</f>
        <v>770.2</v>
      </c>
      <c r="K49" s="1">
        <v>-8.7273000000000003E-5</v>
      </c>
      <c r="L49" s="2">
        <f t="shared" si="3"/>
        <v>61.841084865354453</v>
      </c>
    </row>
    <row r="50" spans="1:267">
      <c r="A50">
        <f t="shared" si="11"/>
        <v>654.400000000001</v>
      </c>
      <c r="B50" s="1">
        <v>-4.4838E-5</v>
      </c>
      <c r="C50" s="2">
        <f t="shared" si="0"/>
        <v>37.39414871970655</v>
      </c>
      <c r="D50">
        <f t="shared" si="10"/>
        <v>704</v>
      </c>
      <c r="E50" s="1">
        <v>-3.0397999999999999E-5</v>
      </c>
      <c r="F50" s="2">
        <f t="shared" si="1"/>
        <v>23.565304748999999</v>
      </c>
      <c r="G50">
        <f t="shared" si="12"/>
        <v>674.400000000001</v>
      </c>
      <c r="H50" s="1">
        <v>-5.0751000000000002E-5</v>
      </c>
      <c r="I50" s="2">
        <f t="shared" si="2"/>
        <v>41.070288289964353</v>
      </c>
      <c r="J50">
        <f t="shared" ref="J50:J113" si="14">J49+0.2</f>
        <v>770.40000000000009</v>
      </c>
      <c r="K50" s="1">
        <v>-8.8348000000000002E-5</v>
      </c>
      <c r="L50" s="2">
        <f t="shared" si="3"/>
        <v>62.586570900436136</v>
      </c>
    </row>
    <row r="51" spans="1:267">
      <c r="A51">
        <f t="shared" si="11"/>
        <v>654.60000000000105</v>
      </c>
      <c r="B51" s="1">
        <v>-4.5404000000000001E-5</v>
      </c>
      <c r="C51" s="2">
        <f t="shared" si="0"/>
        <v>37.854614078533402</v>
      </c>
      <c r="D51">
        <f t="shared" si="10"/>
        <v>705</v>
      </c>
      <c r="E51" s="1">
        <v>-3.2749000000000001E-5</v>
      </c>
      <c r="F51" s="2">
        <f t="shared" si="1"/>
        <v>25.351848750706385</v>
      </c>
      <c r="G51">
        <f t="shared" si="12"/>
        <v>674.60000000000105</v>
      </c>
      <c r="H51" s="1">
        <v>-5.1427000000000001E-5</v>
      </c>
      <c r="I51" s="2">
        <f t="shared" si="2"/>
        <v>41.605003467393942</v>
      </c>
      <c r="J51">
        <f t="shared" si="14"/>
        <v>770.60000000000014</v>
      </c>
      <c r="K51" s="1">
        <v>-8.9427999999999998E-5</v>
      </c>
      <c r="L51" s="2">
        <f t="shared" si="3"/>
        <v>63.335211100254341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</row>
    <row r="52" spans="1:267">
      <c r="A52">
        <f t="shared" si="11"/>
        <v>654.80000000000109</v>
      </c>
      <c r="B52" s="1">
        <v>-4.5969E-5</v>
      </c>
      <c r="C52" s="2">
        <f t="shared" si="0"/>
        <v>38.313964677287657</v>
      </c>
      <c r="D52">
        <f t="shared" si="10"/>
        <v>706</v>
      </c>
      <c r="E52" s="1">
        <v>-3.5259999999999998E-5</v>
      </c>
      <c r="F52" s="2">
        <f t="shared" si="1"/>
        <v>27.25701642424929</v>
      </c>
      <c r="G52">
        <f t="shared" si="12"/>
        <v>674.80000000000109</v>
      </c>
      <c r="H52" s="1">
        <v>-5.2102999999999999E-5</v>
      </c>
      <c r="I52" s="2">
        <f t="shared" si="2"/>
        <v>42.139401682655532</v>
      </c>
      <c r="J52">
        <f t="shared" si="14"/>
        <v>770.80000000000018</v>
      </c>
      <c r="K52" s="1">
        <v>-9.0512000000000003E-5</v>
      </c>
      <c r="L52" s="2">
        <f t="shared" si="3"/>
        <v>64.086294967597283</v>
      </c>
    </row>
    <row r="53" spans="1:267">
      <c r="A53">
        <f t="shared" si="11"/>
        <v>655.00000000000114</v>
      </c>
      <c r="B53" s="1">
        <v>-4.6530999999999999E-5</v>
      </c>
      <c r="C53" s="2">
        <f t="shared" si="0"/>
        <v>38.770535098186194</v>
      </c>
      <c r="D53">
        <f t="shared" si="10"/>
        <v>707</v>
      </c>
      <c r="E53" s="1">
        <v>-3.7987000000000001E-5</v>
      </c>
      <c r="F53" s="2">
        <f t="shared" si="1"/>
        <v>29.323532832000001</v>
      </c>
      <c r="G53">
        <f t="shared" si="12"/>
        <v>675.00000000000114</v>
      </c>
      <c r="H53" s="1">
        <v>-5.2779999999999999E-5</v>
      </c>
      <c r="I53" s="2">
        <f t="shared" si="2"/>
        <v>42.674291748977708</v>
      </c>
      <c r="J53">
        <f t="shared" si="14"/>
        <v>771.00000000000023</v>
      </c>
      <c r="K53" s="1">
        <v>-9.1601000000000006E-5</v>
      </c>
      <c r="L53" s="2">
        <f t="shared" si="3"/>
        <v>64.840528459081696</v>
      </c>
    </row>
    <row r="54" spans="1:267">
      <c r="A54">
        <f>A53+0.2</f>
        <v>655.20000000000118</v>
      </c>
      <c r="B54" s="1">
        <v>-4.7089000000000003E-5</v>
      </c>
      <c r="C54" s="2">
        <f t="shared" si="0"/>
        <v>39.223494922051216</v>
      </c>
      <c r="D54">
        <f t="shared" si="10"/>
        <v>708</v>
      </c>
      <c r="E54" s="1">
        <v>-4.0942000000000002E-5</v>
      </c>
      <c r="F54" s="2">
        <f t="shared" si="1"/>
        <v>31.559964441220341</v>
      </c>
      <c r="G54">
        <f t="shared" si="12"/>
        <v>675.20000000000118</v>
      </c>
      <c r="H54" s="1">
        <v>-5.3455999999999998E-5</v>
      </c>
      <c r="I54" s="2">
        <f t="shared" si="2"/>
        <v>43.208056645307984</v>
      </c>
      <c r="J54">
        <f t="shared" si="14"/>
        <v>771.20000000000027</v>
      </c>
      <c r="K54" s="1">
        <v>-9.2693000000000002E-5</v>
      </c>
      <c r="L54" s="2">
        <f t="shared" si="3"/>
        <v>65.596493774813254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</row>
    <row r="55" spans="1:267">
      <c r="A55">
        <f t="shared" si="11"/>
        <v>655.40000000000123</v>
      </c>
      <c r="B55" s="1">
        <v>-4.7644E-5</v>
      </c>
      <c r="C55" s="2">
        <f t="shared" si="0"/>
        <v>39.673680165224219</v>
      </c>
      <c r="D55">
        <f t="shared" si="10"/>
        <v>709</v>
      </c>
      <c r="E55" s="1">
        <v>-4.4132999999999999E-5</v>
      </c>
      <c r="F55" s="2">
        <f t="shared" si="1"/>
        <v>33.971750355452748</v>
      </c>
      <c r="G55">
        <f t="shared" si="12"/>
        <v>675.40000000000123</v>
      </c>
      <c r="H55" s="1">
        <v>-5.4129999999999998E-5</v>
      </c>
      <c r="I55" s="2">
        <f t="shared" si="2"/>
        <v>43.739889318566696</v>
      </c>
      <c r="J55">
        <f t="shared" si="14"/>
        <v>771.40000000000032</v>
      </c>
      <c r="K55" s="1">
        <v>-9.3788000000000004E-5</v>
      </c>
      <c r="L55" s="2">
        <f t="shared" si="3"/>
        <v>66.354189567767676</v>
      </c>
    </row>
    <row r="56" spans="1:267">
      <c r="A56">
        <f t="shared" si="11"/>
        <v>655.60000000000127</v>
      </c>
      <c r="B56" s="1">
        <v>-4.8194E-5</v>
      </c>
      <c r="C56" s="2">
        <f t="shared" si="0"/>
        <v>40.119428453154285</v>
      </c>
      <c r="D56">
        <v>710</v>
      </c>
      <c r="E56" s="1">
        <v>-4.7571000000000002E-5</v>
      </c>
      <c r="F56" s="2">
        <f t="shared" si="1"/>
        <v>36.566605058298599</v>
      </c>
      <c r="G56">
        <f t="shared" si="12"/>
        <v>675.60000000000127</v>
      </c>
      <c r="H56" s="1">
        <v>-5.4802999999999997E-5</v>
      </c>
      <c r="I56" s="2">
        <f t="shared" si="2"/>
        <v>44.270599298188195</v>
      </c>
      <c r="J56">
        <f t="shared" si="14"/>
        <v>771.60000000000036</v>
      </c>
      <c r="K56" s="1">
        <v>-9.4885999999999999E-5</v>
      </c>
      <c r="L56" s="2">
        <f t="shared" si="3"/>
        <v>67.11361449231724</v>
      </c>
    </row>
    <row r="57" spans="1:267">
      <c r="A57">
        <f t="shared" si="11"/>
        <v>655.80000000000132</v>
      </c>
      <c r="B57" s="1">
        <v>-4.8738E-5</v>
      </c>
      <c r="C57" s="2">
        <f t="shared" si="0"/>
        <v>40.559911642232308</v>
      </c>
      <c r="D57">
        <f>D56+0.2</f>
        <v>710.2</v>
      </c>
      <c r="E57" s="1">
        <v>-4.8288999999999998E-5</v>
      </c>
      <c r="F57" s="2">
        <f t="shared" si="1"/>
        <v>37.108060229974647</v>
      </c>
      <c r="G57">
        <f t="shared" si="12"/>
        <v>675.80000000000132</v>
      </c>
      <c r="H57" s="1">
        <v>-5.5473000000000002E-5</v>
      </c>
      <c r="I57" s="2">
        <f t="shared" si="2"/>
        <v>44.798572432222471</v>
      </c>
      <c r="J57">
        <f t="shared" si="14"/>
        <v>771.80000000000041</v>
      </c>
      <c r="K57" s="1">
        <v>-9.5984999999999997E-5</v>
      </c>
      <c r="L57" s="2">
        <f t="shared" si="3"/>
        <v>67.873352955066039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</row>
    <row r="58" spans="1:267">
      <c r="A58">
        <f t="shared" si="11"/>
        <v>656.00000000000136</v>
      </c>
      <c r="B58" s="1">
        <v>-4.9276000000000001E-5</v>
      </c>
      <c r="C58" s="2">
        <f t="shared" si="0"/>
        <v>40.995134548097482</v>
      </c>
      <c r="D58">
        <f t="shared" ref="D58:D121" si="15">D57+0.2</f>
        <v>710.40000000000009</v>
      </c>
      <c r="E58" s="1">
        <v>-4.9016E-5</v>
      </c>
      <c r="F58" s="2">
        <f t="shared" si="1"/>
        <v>37.656124701621614</v>
      </c>
      <c r="G58">
        <f t="shared" si="12"/>
        <v>676.00000000000136</v>
      </c>
      <c r="H58" s="1">
        <v>-5.6138999999999999E-5</v>
      </c>
      <c r="I58" s="2">
        <f t="shared" si="2"/>
        <v>45.323003814390439</v>
      </c>
      <c r="J58">
        <f t="shared" si="14"/>
        <v>772.00000000000045</v>
      </c>
      <c r="K58" s="1">
        <v>-9.7084999999999996E-5</v>
      </c>
      <c r="L58" s="2">
        <f t="shared" si="3"/>
        <v>68.633404712331554</v>
      </c>
    </row>
    <row r="59" spans="1:267">
      <c r="A59">
        <f t="shared" si="11"/>
        <v>656.20000000000141</v>
      </c>
      <c r="B59" s="1">
        <v>-4.9806999999999999E-5</v>
      </c>
      <c r="C59" s="2">
        <f t="shared" si="0"/>
        <v>41.424270284766756</v>
      </c>
      <c r="D59">
        <f t="shared" si="15"/>
        <v>710.60000000000014</v>
      </c>
      <c r="E59" s="1">
        <v>-4.9753000000000003E-5</v>
      </c>
      <c r="F59" s="2">
        <f t="shared" si="1"/>
        <v>38.21156091789473</v>
      </c>
      <c r="G59">
        <f t="shared" si="12"/>
        <v>676.20000000000141</v>
      </c>
      <c r="H59" s="1">
        <v>-5.6801E-5</v>
      </c>
      <c r="I59" s="2">
        <f t="shared" si="2"/>
        <v>45.843896587329091</v>
      </c>
      <c r="J59">
        <f t="shared" si="14"/>
        <v>772.2000000000005</v>
      </c>
      <c r="K59" s="1">
        <v>-9.8183999999999994E-5</v>
      </c>
      <c r="L59" s="2">
        <f t="shared" si="3"/>
        <v>69.39235600410251</v>
      </c>
    </row>
    <row r="60" spans="1:267">
      <c r="A60">
        <f t="shared" si="11"/>
        <v>656.40000000000146</v>
      </c>
      <c r="B60" s="1">
        <v>-5.0328999999999999E-5</v>
      </c>
      <c r="C60" s="2">
        <f t="shared" si="0"/>
        <v>41.845661531700088</v>
      </c>
      <c r="D60">
        <f t="shared" si="15"/>
        <v>710.80000000000018</v>
      </c>
      <c r="E60" s="1">
        <v>-5.0500000000000001E-5</v>
      </c>
      <c r="F60" s="2">
        <f t="shared" si="1"/>
        <v>38.774362656162062</v>
      </c>
      <c r="G60">
        <f t="shared" si="12"/>
        <v>676.40000000000146</v>
      </c>
      <c r="H60" s="1">
        <v>-5.7457999999999998E-5</v>
      </c>
      <c r="I60" s="2">
        <f t="shared" si="2"/>
        <v>46.360447031957321</v>
      </c>
      <c r="J60">
        <f t="shared" si="14"/>
        <v>772.40000000000055</v>
      </c>
      <c r="K60" s="1">
        <v>-9.9283000000000005E-5</v>
      </c>
      <c r="L60" s="2">
        <f t="shared" si="3"/>
        <v>70.150914260507463</v>
      </c>
    </row>
    <row r="61" spans="1:267">
      <c r="A61">
        <f t="shared" si="11"/>
        <v>656.6000000000015</v>
      </c>
      <c r="B61" s="1">
        <v>-5.0841000000000003E-5</v>
      </c>
      <c r="C61" s="2">
        <f t="shared" si="0"/>
        <v>42.25848417671633</v>
      </c>
      <c r="D61">
        <f t="shared" si="15"/>
        <v>711.00000000000023</v>
      </c>
      <c r="E61" s="1">
        <v>-5.1255999999999999E-5</v>
      </c>
      <c r="F61" s="2">
        <f t="shared" si="1"/>
        <v>39.343756107611803</v>
      </c>
      <c r="G61">
        <f t="shared" si="12"/>
        <v>676.6000000000015</v>
      </c>
      <c r="H61" s="1">
        <v>-5.8108E-5</v>
      </c>
      <c r="I61" s="2">
        <f t="shared" si="2"/>
        <v>46.871045759999895</v>
      </c>
      <c r="J61">
        <f t="shared" si="14"/>
        <v>772.60000000000059</v>
      </c>
      <c r="K61" s="1">
        <v>-1.0038E-4</v>
      </c>
      <c r="L61" s="2">
        <f t="shared" si="3"/>
        <v>70.90766700201911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</row>
    <row r="62" spans="1:267">
      <c r="A62">
        <f t="shared" si="11"/>
        <v>656.80000000000155</v>
      </c>
      <c r="B62" s="1">
        <v>-5.1344000000000002E-5</v>
      </c>
      <c r="C62" s="2">
        <f t="shared" si="0"/>
        <v>42.663576983386008</v>
      </c>
      <c r="D62">
        <f t="shared" si="15"/>
        <v>711.20000000000027</v>
      </c>
      <c r="E62" s="1">
        <v>-5.2021999999999998E-5</v>
      </c>
      <c r="F62" s="2">
        <f t="shared" si="1"/>
        <v>39.920503088503921</v>
      </c>
      <c r="G62">
        <f t="shared" si="12"/>
        <v>676.80000000000155</v>
      </c>
      <c r="H62" s="1">
        <v>-5.8752000000000003E-5</v>
      </c>
      <c r="I62" s="2">
        <f t="shared" si="2"/>
        <v>47.376504428936066</v>
      </c>
      <c r="J62">
        <f t="shared" si="14"/>
        <v>772.80000000000064</v>
      </c>
      <c r="K62" s="1">
        <v>-1.0148E-4</v>
      </c>
      <c r="L62" s="2">
        <f t="shared" si="3"/>
        <v>71.666146678260816</v>
      </c>
    </row>
    <row r="63" spans="1:267">
      <c r="A63">
        <f t="shared" si="11"/>
        <v>657.00000000000159</v>
      </c>
      <c r="B63" s="1">
        <v>-5.1835000000000001E-5</v>
      </c>
      <c r="C63" s="2">
        <f t="shared" si="0"/>
        <v>43.058454961826378</v>
      </c>
      <c r="D63">
        <f t="shared" si="15"/>
        <v>711.40000000000032</v>
      </c>
      <c r="E63" s="1">
        <v>-5.2797999999999998E-5</v>
      </c>
      <c r="F63" s="2">
        <f t="shared" si="1"/>
        <v>40.504597396817523</v>
      </c>
      <c r="G63">
        <f t="shared" si="12"/>
        <v>677.00000000000159</v>
      </c>
      <c r="H63" s="1">
        <v>-5.9386999999999999E-5</v>
      </c>
      <c r="I63" s="2">
        <f t="shared" si="2"/>
        <v>47.874409165471086</v>
      </c>
      <c r="J63">
        <f t="shared" si="14"/>
        <v>773.00000000000068</v>
      </c>
      <c r="K63" s="1">
        <v>-1.0257E-4</v>
      </c>
      <c r="L63" s="2">
        <f t="shared" si="3"/>
        <v>72.41717359979296</v>
      </c>
    </row>
    <row r="64" spans="1:267">
      <c r="A64">
        <f t="shared" si="11"/>
        <v>657.20000000000164</v>
      </c>
      <c r="B64" s="1">
        <v>-5.2314000000000001E-5</v>
      </c>
      <c r="C64" s="2">
        <f t="shared" si="0"/>
        <v>43.443127437808776</v>
      </c>
      <c r="D64">
        <f t="shared" si="15"/>
        <v>711.60000000000036</v>
      </c>
      <c r="E64" s="1">
        <v>-5.3582000000000003E-5</v>
      </c>
      <c r="F64" s="2">
        <f t="shared" si="1"/>
        <v>41.094498945564908</v>
      </c>
      <c r="G64">
        <f t="shared" si="12"/>
        <v>677.20000000000164</v>
      </c>
      <c r="H64" s="1">
        <v>-6.0013999999999998E-5</v>
      </c>
      <c r="I64" s="2">
        <f t="shared" si="2"/>
        <v>48.365572567229655</v>
      </c>
      <c r="J64">
        <f t="shared" si="14"/>
        <v>773.20000000000073</v>
      </c>
      <c r="K64" s="1">
        <v>-1.0365E-4</v>
      </c>
      <c r="L64" s="2">
        <f t="shared" si="3"/>
        <v>73.160753549922347</v>
      </c>
    </row>
    <row r="65" spans="1:12">
      <c r="A65">
        <f t="shared" si="11"/>
        <v>657.40000000000168</v>
      </c>
      <c r="B65" s="1">
        <v>-5.2778999999999997E-5</v>
      </c>
      <c r="C65" s="2">
        <f t="shared" si="0"/>
        <v>43.815943370562707</v>
      </c>
      <c r="D65">
        <f t="shared" si="15"/>
        <v>711.80000000000041</v>
      </c>
      <c r="E65" s="1">
        <v>-5.4376000000000003E-5</v>
      </c>
      <c r="F65" s="2">
        <f t="shared" si="1"/>
        <v>41.691736300578796</v>
      </c>
      <c r="G65">
        <f>G64+0.2</f>
        <v>677.40000000000168</v>
      </c>
      <c r="H65" s="1">
        <v>-6.0631000000000003E-5</v>
      </c>
      <c r="I65" s="2">
        <f t="shared" si="2"/>
        <v>48.848389271496785</v>
      </c>
      <c r="J65">
        <f t="shared" si="14"/>
        <v>773.40000000000077</v>
      </c>
      <c r="K65" s="1">
        <v>-1.0474E-4</v>
      </c>
      <c r="L65" s="2">
        <f t="shared" si="3"/>
        <v>73.911005539798225</v>
      </c>
    </row>
    <row r="66" spans="1:12">
      <c r="A66">
        <f t="shared" si="11"/>
        <v>657.60000000000173</v>
      </c>
      <c r="B66" s="1">
        <v>-5.3229999999999997E-5</v>
      </c>
      <c r="C66" s="2">
        <f t="shared" si="0"/>
        <v>44.176913578102074</v>
      </c>
      <c r="D66">
        <f t="shared" si="15"/>
        <v>712.00000000000045</v>
      </c>
      <c r="E66" s="1">
        <v>-5.5179000000000001E-5</v>
      </c>
      <c r="F66" s="2">
        <f t="shared" si="1"/>
        <v>42.295536764898856</v>
      </c>
      <c r="G66">
        <f t="shared" si="12"/>
        <v>677.60000000000173</v>
      </c>
      <c r="H66" s="1">
        <v>-6.1236999999999997E-5</v>
      </c>
      <c r="I66" s="2">
        <f t="shared" si="2"/>
        <v>49.322061239999883</v>
      </c>
      <c r="J66">
        <f t="shared" si="14"/>
        <v>773.60000000000082</v>
      </c>
      <c r="K66" s="1">
        <v>-1.0581000000000001E-4</v>
      </c>
      <c r="L66" s="2">
        <f t="shared" si="3"/>
        <v>74.646760016959604</v>
      </c>
    </row>
    <row r="67" spans="1:12">
      <c r="A67">
        <f t="shared" si="11"/>
        <v>657.80000000000177</v>
      </c>
      <c r="B67" s="1">
        <v>-5.3665000000000002E-5</v>
      </c>
      <c r="C67" s="2">
        <f t="shared" ref="C67:C130" si="16">-8.686*2*3.1416*(B67)/((A67)*10^-7)</f>
        <v>44.524389519732324</v>
      </c>
      <c r="D67">
        <f t="shared" si="15"/>
        <v>712.2000000000005</v>
      </c>
      <c r="E67" s="1">
        <v>-5.5991E-5</v>
      </c>
      <c r="F67" s="2">
        <f t="shared" ref="F67:F130" si="17">-8.686*2*3.1416*(E67)/((D67)*10^-7)</f>
        <v>42.905894809368121</v>
      </c>
      <c r="G67">
        <f t="shared" si="12"/>
        <v>677.80000000000177</v>
      </c>
      <c r="H67" s="1">
        <v>-6.1830999999999998E-5</v>
      </c>
      <c r="I67" s="2">
        <f t="shared" ref="I67:I130" si="18">-8.686*2*3.1416*(H67)/((G67)*10^-7)</f>
        <v>49.785791376382285</v>
      </c>
      <c r="J67">
        <f t="shared" si="14"/>
        <v>773.80000000000086</v>
      </c>
      <c r="K67" s="1">
        <v>-1.0688000000000001E-4</v>
      </c>
      <c r="L67" s="2">
        <f t="shared" ref="L67:L130" si="19">-8.686*2*3.1416*(K67)/((J67)*10^-7)</f>
        <v>75.382134160971745</v>
      </c>
    </row>
    <row r="68" spans="1:12">
      <c r="A68">
        <f t="shared" si="11"/>
        <v>658.00000000000182</v>
      </c>
      <c r="B68" s="1">
        <v>-5.4085000000000001E-5</v>
      </c>
      <c r="C68" s="2">
        <f t="shared" si="16"/>
        <v>44.859212920850943</v>
      </c>
      <c r="D68">
        <f t="shared" si="15"/>
        <v>712.40000000000055</v>
      </c>
      <c r="E68" s="1">
        <v>-5.6813E-5</v>
      </c>
      <c r="F68" s="2">
        <f t="shared" si="17"/>
        <v>43.523570995755158</v>
      </c>
      <c r="G68">
        <f t="shared" si="12"/>
        <v>678.00000000000182</v>
      </c>
      <c r="H68" s="1">
        <v>-6.2413E-5</v>
      </c>
      <c r="I68" s="2">
        <f t="shared" si="18"/>
        <v>50.239588478725523</v>
      </c>
      <c r="J68">
        <f t="shared" si="14"/>
        <v>774.00000000000091</v>
      </c>
      <c r="K68" s="1">
        <v>-1.0794E-4</v>
      </c>
      <c r="L68" s="2">
        <f t="shared" si="19"/>
        <v>76.1100771199999</v>
      </c>
    </row>
    <row r="69" spans="1:12">
      <c r="A69">
        <f t="shared" si="11"/>
        <v>658.20000000000186</v>
      </c>
      <c r="B69" s="1">
        <v>-5.4486E-5</v>
      </c>
      <c r="C69" s="2">
        <f t="shared" si="16"/>
        <v>45.178078640947916</v>
      </c>
      <c r="D69">
        <f t="shared" si="15"/>
        <v>712.60000000000059</v>
      </c>
      <c r="E69" s="1">
        <v>-5.7642000000000001E-5</v>
      </c>
      <c r="F69" s="2">
        <f t="shared" si="17"/>
        <v>44.146261553163029</v>
      </c>
      <c r="G69">
        <f t="shared" si="12"/>
        <v>678.20000000000186</v>
      </c>
      <c r="H69" s="1">
        <v>-6.2979999999999997E-5</v>
      </c>
      <c r="I69" s="2">
        <f t="shared" si="18"/>
        <v>50.681047185136983</v>
      </c>
      <c r="J69">
        <f t="shared" si="14"/>
        <v>774.20000000000095</v>
      </c>
      <c r="K69" s="1">
        <v>-1.0898E-4</v>
      </c>
      <c r="L69" s="2">
        <f t="shared" si="19"/>
        <v>76.823545328028843</v>
      </c>
    </row>
    <row r="70" spans="1:12">
      <c r="A70">
        <f t="shared" si="11"/>
        <v>658.40000000000191</v>
      </c>
      <c r="B70" s="1">
        <v>-5.4868999999999999E-5</v>
      </c>
      <c r="C70" s="2">
        <f t="shared" si="16"/>
        <v>45.481830138954919</v>
      </c>
      <c r="D70">
        <f t="shared" si="15"/>
        <v>712.80000000000064</v>
      </c>
      <c r="E70" s="1">
        <v>-5.8480000000000003E-5</v>
      </c>
      <c r="F70" s="2">
        <f t="shared" si="17"/>
        <v>44.775493570370337</v>
      </c>
      <c r="G70">
        <f t="shared" si="12"/>
        <v>678.40000000000191</v>
      </c>
      <c r="H70" s="1">
        <v>-6.3532000000000001E-5</v>
      </c>
      <c r="I70" s="2">
        <f t="shared" si="18"/>
        <v>51.110178408113065</v>
      </c>
      <c r="J70">
        <f t="shared" si="14"/>
        <v>774.400000000001</v>
      </c>
      <c r="K70" s="1">
        <v>-1.1001999999999999E-4</v>
      </c>
      <c r="L70" s="2">
        <f t="shared" si="19"/>
        <v>77.536645009090805</v>
      </c>
    </row>
    <row r="71" spans="1:12">
      <c r="A71">
        <f t="shared" si="11"/>
        <v>658.60000000000196</v>
      </c>
      <c r="B71" s="1">
        <v>-5.5232999999999998E-5</v>
      </c>
      <c r="C71" s="2">
        <f t="shared" si="16"/>
        <v>45.769652519307492</v>
      </c>
      <c r="D71">
        <f t="shared" si="15"/>
        <v>713.00000000000068</v>
      </c>
      <c r="E71" s="1">
        <v>-5.9326000000000001E-5</v>
      </c>
      <c r="F71" s="2">
        <f t="shared" si="17"/>
        <v>45.410496102597435</v>
      </c>
      <c r="G71">
        <f t="shared" si="12"/>
        <v>678.60000000000196</v>
      </c>
      <c r="H71" s="1">
        <v>-6.4068999999999999E-5</v>
      </c>
      <c r="I71" s="2">
        <f t="shared" si="18"/>
        <v>51.526993047285444</v>
      </c>
      <c r="J71">
        <f t="shared" si="14"/>
        <v>774.60000000000105</v>
      </c>
      <c r="K71" s="1">
        <v>-1.1103999999999999E-4</v>
      </c>
      <c r="L71" s="2">
        <f t="shared" si="19"/>
        <v>78.235285078853494</v>
      </c>
    </row>
    <row r="72" spans="1:12">
      <c r="A72">
        <f t="shared" si="11"/>
        <v>658.800000000002</v>
      </c>
      <c r="B72" s="1">
        <v>-5.5575999999999998E-5</v>
      </c>
      <c r="C72" s="2">
        <f t="shared" si="16"/>
        <v>46.039903462586373</v>
      </c>
      <c r="D72">
        <f t="shared" si="15"/>
        <v>713.20000000000073</v>
      </c>
      <c r="E72" s="1">
        <v>-6.0179000000000001E-5</v>
      </c>
      <c r="F72" s="2">
        <f t="shared" si="17"/>
        <v>46.050499069837308</v>
      </c>
      <c r="G72">
        <f t="shared" si="12"/>
        <v>678.800000000002</v>
      </c>
      <c r="H72" s="1">
        <v>-6.4589000000000001E-5</v>
      </c>
      <c r="I72" s="2">
        <f t="shared" si="18"/>
        <v>51.929893978974512</v>
      </c>
      <c r="J72">
        <f t="shared" si="14"/>
        <v>774.80000000000109</v>
      </c>
      <c r="K72" s="1">
        <v>-1.1205999999999999E-4</v>
      </c>
      <c r="L72" s="2">
        <f t="shared" si="19"/>
        <v>78.933564467113982</v>
      </c>
    </row>
    <row r="73" spans="1:12">
      <c r="A73">
        <f t="shared" si="11"/>
        <v>659.00000000000205</v>
      </c>
      <c r="B73" s="1">
        <v>-5.5897999999999999E-5</v>
      </c>
      <c r="C73" s="2">
        <f t="shared" si="16"/>
        <v>46.292598967065103</v>
      </c>
      <c r="D73">
        <f t="shared" si="15"/>
        <v>713.40000000000077</v>
      </c>
      <c r="E73" s="1">
        <v>-6.1039999999999998E-5</v>
      </c>
      <c r="F73" s="2">
        <f t="shared" si="17"/>
        <v>46.696263277375898</v>
      </c>
      <c r="G73">
        <f t="shared" si="12"/>
        <v>679.00000000000205</v>
      </c>
      <c r="H73" s="1">
        <v>-6.5090000000000002E-5</v>
      </c>
      <c r="I73" s="2">
        <f t="shared" si="18"/>
        <v>52.317285961236955</v>
      </c>
      <c r="J73">
        <f t="shared" si="14"/>
        <v>775.00000000000114</v>
      </c>
      <c r="K73" s="1">
        <v>-1.1305E-4</v>
      </c>
      <c r="L73" s="2">
        <f t="shared" si="19"/>
        <v>79.610357307870856</v>
      </c>
    </row>
    <row r="74" spans="1:12">
      <c r="A74">
        <f t="shared" si="11"/>
        <v>659.20000000000209</v>
      </c>
      <c r="B74" s="1">
        <v>-5.6198E-5</v>
      </c>
      <c r="C74" s="2">
        <f t="shared" si="16"/>
        <v>46.526927100873635</v>
      </c>
      <c r="D74">
        <f t="shared" si="15"/>
        <v>713.60000000000082</v>
      </c>
      <c r="E74" s="1">
        <v>-6.1908000000000004E-5</v>
      </c>
      <c r="F74" s="2">
        <f t="shared" si="17"/>
        <v>47.347019084663629</v>
      </c>
      <c r="G74">
        <f t="shared" si="12"/>
        <v>679.20000000000209</v>
      </c>
      <c r="H74" s="1">
        <v>-6.5573000000000004E-5</v>
      </c>
      <c r="I74" s="2">
        <f t="shared" si="18"/>
        <v>52.689986226289598</v>
      </c>
      <c r="J74">
        <f t="shared" si="14"/>
        <v>775.20000000000118</v>
      </c>
      <c r="K74" s="1">
        <v>-1.1403E-4</v>
      </c>
      <c r="L74" s="2">
        <f t="shared" si="19"/>
        <v>80.279760694736723</v>
      </c>
    </row>
    <row r="75" spans="1:12">
      <c r="A75">
        <f t="shared" si="11"/>
        <v>659.40000000000214</v>
      </c>
      <c r="B75" s="1">
        <v>-5.6474999999999997E-5</v>
      </c>
      <c r="C75" s="2">
        <f t="shared" si="16"/>
        <v>46.742076917197302</v>
      </c>
      <c r="D75">
        <f t="shared" si="15"/>
        <v>713.80000000000086</v>
      </c>
      <c r="E75" s="1">
        <v>-6.2785000000000003E-5</v>
      </c>
      <c r="F75" s="2">
        <f t="shared" si="17"/>
        <v>48.004291460240907</v>
      </c>
      <c r="G75">
        <f t="shared" si="12"/>
        <v>679.40000000000214</v>
      </c>
      <c r="H75" s="1">
        <v>-6.6036000000000003E-5</v>
      </c>
      <c r="I75" s="2">
        <f t="shared" si="18"/>
        <v>53.046401158480855</v>
      </c>
      <c r="J75">
        <f t="shared" si="14"/>
        <v>775.40000000000123</v>
      </c>
      <c r="K75" s="1">
        <v>-1.1499E-4</v>
      </c>
      <c r="L75" s="2">
        <f t="shared" si="19"/>
        <v>80.934741929945702</v>
      </c>
    </row>
    <row r="76" spans="1:12">
      <c r="A76">
        <f t="shared" si="11"/>
        <v>659.60000000000218</v>
      </c>
      <c r="B76" s="1">
        <v>-5.6671E-5</v>
      </c>
      <c r="C76" s="2">
        <f t="shared" si="16"/>
        <v>46.890076159175102</v>
      </c>
      <c r="D76">
        <f t="shared" si="15"/>
        <v>714.00000000000091</v>
      </c>
      <c r="E76" s="1">
        <v>-6.3665999999999997E-5</v>
      </c>
      <c r="F76" s="2">
        <f t="shared" si="17"/>
        <v>48.664253087999946</v>
      </c>
      <c r="G76">
        <f t="shared" si="12"/>
        <v>679.60000000000218</v>
      </c>
      <c r="H76" s="1">
        <v>-6.6477999999999996E-5</v>
      </c>
      <c r="I76" s="2">
        <f t="shared" si="18"/>
        <v>53.385742076892114</v>
      </c>
      <c r="J76">
        <f t="shared" si="14"/>
        <v>775.60000000000127</v>
      </c>
      <c r="K76" s="1">
        <v>-1.1594E-4</v>
      </c>
      <c r="L76" s="2">
        <f t="shared" si="19"/>
        <v>81.582348771119015</v>
      </c>
    </row>
    <row r="77" spans="1:12">
      <c r="A77">
        <f t="shared" si="11"/>
        <v>659.80000000000223</v>
      </c>
      <c r="B77" s="1">
        <v>-5.6789999999999997E-5</v>
      </c>
      <c r="C77" s="2">
        <f t="shared" si="16"/>
        <v>46.974294522703694</v>
      </c>
      <c r="D77">
        <f t="shared" si="15"/>
        <v>714.20000000000095</v>
      </c>
      <c r="E77" s="1">
        <v>-6.4552000000000001E-5</v>
      </c>
      <c r="F77" s="2">
        <f t="shared" si="17"/>
        <v>49.327665862649049</v>
      </c>
      <c r="G77">
        <f t="shared" si="12"/>
        <v>679.80000000000223</v>
      </c>
      <c r="H77" s="1">
        <v>-6.6897999999999995E-5</v>
      </c>
      <c r="I77" s="2">
        <f t="shared" si="18"/>
        <v>53.707221228737694</v>
      </c>
      <c r="J77">
        <f t="shared" si="14"/>
        <v>775.80000000000132</v>
      </c>
      <c r="K77" s="1">
        <v>-1.1686E-4</v>
      </c>
      <c r="L77" s="2">
        <f t="shared" si="19"/>
        <v>82.208517348182369</v>
      </c>
    </row>
    <row r="78" spans="1:12">
      <c r="A78">
        <f t="shared" si="11"/>
        <v>660.00000000000227</v>
      </c>
      <c r="B78" s="1">
        <v>-5.6886999999999999E-5</v>
      </c>
      <c r="C78" s="2">
        <f t="shared" si="16"/>
        <v>47.040269886399841</v>
      </c>
      <c r="D78">
        <f t="shared" si="15"/>
        <v>714.400000000001</v>
      </c>
      <c r="E78" s="1">
        <v>-6.5443000000000003E-5</v>
      </c>
      <c r="F78" s="2">
        <f t="shared" si="17"/>
        <v>49.994526885688622</v>
      </c>
      <c r="G78">
        <f t="shared" si="12"/>
        <v>680.00000000000227</v>
      </c>
      <c r="H78" s="1">
        <v>-6.7296000000000001E-5</v>
      </c>
      <c r="I78" s="2">
        <f t="shared" si="18"/>
        <v>54.01085437439982</v>
      </c>
      <c r="J78">
        <f t="shared" si="14"/>
        <v>776.00000000000136</v>
      </c>
      <c r="K78" s="1">
        <v>-1.1776E-4</v>
      </c>
      <c r="L78" s="2">
        <f t="shared" si="19"/>
        <v>82.820297210721506</v>
      </c>
    </row>
    <row r="79" spans="1:12">
      <c r="A79">
        <f t="shared" si="11"/>
        <v>660.20000000000232</v>
      </c>
      <c r="B79" s="1">
        <v>-5.6963000000000003E-5</v>
      </c>
      <c r="C79" s="2">
        <f t="shared" si="16"/>
        <v>47.088845486482725</v>
      </c>
      <c r="D79">
        <f t="shared" si="15"/>
        <v>714.60000000000105</v>
      </c>
      <c r="E79" s="1">
        <v>-6.6338000000000001E-5</v>
      </c>
      <c r="F79" s="2">
        <f t="shared" si="17"/>
        <v>50.66406953565064</v>
      </c>
      <c r="G79">
        <f t="shared" si="12"/>
        <v>680.20000000000232</v>
      </c>
      <c r="H79" s="1">
        <v>-6.7669999999999994E-5</v>
      </c>
      <c r="I79" s="2">
        <f t="shared" si="18"/>
        <v>54.295052554895427</v>
      </c>
      <c r="J79">
        <f t="shared" si="14"/>
        <v>776.20000000000141</v>
      </c>
      <c r="K79" s="1">
        <v>-1.1864E-4</v>
      </c>
      <c r="L79" s="2">
        <f t="shared" si="19"/>
        <v>83.41769948116449</v>
      </c>
    </row>
    <row r="80" spans="1:12">
      <c r="A80">
        <f t="shared" si="11"/>
        <v>660.40000000000236</v>
      </c>
      <c r="B80" s="1">
        <v>-5.7018000000000002E-5</v>
      </c>
      <c r="C80" s="2">
        <f t="shared" si="16"/>
        <v>47.120037131338421</v>
      </c>
      <c r="D80">
        <f t="shared" si="15"/>
        <v>714.80000000000109</v>
      </c>
      <c r="E80" s="1">
        <v>-6.7237999999999996E-5</v>
      </c>
      <c r="F80" s="2">
        <f t="shared" si="17"/>
        <v>51.337055074112953</v>
      </c>
      <c r="G80">
        <f t="shared" si="12"/>
        <v>680.40000000000236</v>
      </c>
      <c r="H80" s="1">
        <v>-6.8019E-5</v>
      </c>
      <c r="I80" s="2">
        <f t="shared" si="18"/>
        <v>54.559030794073884</v>
      </c>
      <c r="J80">
        <f t="shared" si="14"/>
        <v>776.40000000000146</v>
      </c>
      <c r="K80" s="1">
        <v>-1.1949E-4</v>
      </c>
      <c r="L80" s="2">
        <f t="shared" si="19"/>
        <v>83.993705920247137</v>
      </c>
    </row>
    <row r="81" spans="1:12">
      <c r="A81">
        <f t="shared" si="11"/>
        <v>660.60000000000241</v>
      </c>
      <c r="B81" s="1">
        <v>-5.7051E-5</v>
      </c>
      <c r="C81" s="2">
        <f t="shared" si="16"/>
        <v>47.133034454059782</v>
      </c>
      <c r="D81">
        <f t="shared" si="15"/>
        <v>715.00000000000114</v>
      </c>
      <c r="E81" s="1">
        <v>-6.8140999999999997E-5</v>
      </c>
      <c r="F81" s="2">
        <f t="shared" si="17"/>
        <v>52.011954014030685</v>
      </c>
      <c r="G81">
        <f t="shared" si="12"/>
        <v>680.60000000000241</v>
      </c>
      <c r="H81" s="1">
        <v>-6.8343999999999995E-5</v>
      </c>
      <c r="I81" s="2">
        <f t="shared" si="18"/>
        <v>54.803608796191398</v>
      </c>
      <c r="J81">
        <f>J80+0.2</f>
        <v>776.6000000000015</v>
      </c>
      <c r="K81" s="1">
        <v>-1.2032E-4</v>
      </c>
      <c r="L81" s="2">
        <f t="shared" si="19"/>
        <v>84.555360598300126</v>
      </c>
    </row>
    <row r="82" spans="1:12">
      <c r="A82" s="3">
        <f t="shared" si="11"/>
        <v>660.80000000000246</v>
      </c>
      <c r="B82" s="1">
        <v>-5.7064000000000001E-5</v>
      </c>
      <c r="C82" s="4">
        <f t="shared" si="16"/>
        <v>47.129505787118468</v>
      </c>
      <c r="D82">
        <f t="shared" si="15"/>
        <v>715.20000000000118</v>
      </c>
      <c r="E82" s="1">
        <v>-6.9047999999999993E-5</v>
      </c>
      <c r="F82" s="2">
        <f t="shared" si="17"/>
        <v>52.689527835704602</v>
      </c>
      <c r="G82">
        <f t="shared" si="12"/>
        <v>680.80000000000246</v>
      </c>
      <c r="H82" s="1">
        <v>-6.8643E-5</v>
      </c>
      <c r="I82" s="2">
        <f t="shared" si="18"/>
        <v>55.027200372408728</v>
      </c>
      <c r="J82">
        <f t="shared" si="14"/>
        <v>776.80000000000155</v>
      </c>
      <c r="K82" s="1">
        <v>-1.2112000000000001E-4</v>
      </c>
      <c r="L82" s="2">
        <f t="shared" si="19"/>
        <v>85.095648870030743</v>
      </c>
    </row>
    <row r="83" spans="1:12">
      <c r="A83">
        <f t="shared" si="11"/>
        <v>661.0000000000025</v>
      </c>
      <c r="B83" s="1">
        <v>-5.7055000000000002E-5</v>
      </c>
      <c r="C83" s="2">
        <f t="shared" si="16"/>
        <v>47.107814819001334</v>
      </c>
      <c r="D83">
        <f t="shared" si="15"/>
        <v>715.40000000000123</v>
      </c>
      <c r="E83" s="1">
        <v>-6.9956000000000006E-5</v>
      </c>
      <c r="F83" s="2">
        <f t="shared" si="17"/>
        <v>53.367485679217133</v>
      </c>
      <c r="G83">
        <f t="shared" si="12"/>
        <v>681.0000000000025</v>
      </c>
      <c r="H83" s="1">
        <v>-6.8916000000000002E-5</v>
      </c>
      <c r="I83" s="2">
        <f t="shared" si="18"/>
        <v>55.229824012968962</v>
      </c>
      <c r="J83">
        <f t="shared" si="14"/>
        <v>777.00000000000159</v>
      </c>
      <c r="K83" s="1">
        <v>-1.2189E-4</v>
      </c>
      <c r="L83" s="2">
        <f t="shared" si="19"/>
        <v>85.614587234594424</v>
      </c>
    </row>
    <row r="84" spans="1:12">
      <c r="A84">
        <f t="shared" si="11"/>
        <v>661.20000000000255</v>
      </c>
      <c r="B84" s="1">
        <v>-5.7024999999999997E-5</v>
      </c>
      <c r="C84" s="2">
        <f t="shared" si="16"/>
        <v>47.068803437386386</v>
      </c>
      <c r="D84">
        <f>D83+0.2</f>
        <v>715.60000000000127</v>
      </c>
      <c r="E84" s="1">
        <v>-7.0865999999999995E-5</v>
      </c>
      <c r="F84" s="2">
        <f t="shared" si="17"/>
        <v>54.046589881542666</v>
      </c>
      <c r="G84">
        <f t="shared" si="12"/>
        <v>681.20000000000255</v>
      </c>
      <c r="H84" s="1">
        <v>-6.9162E-5</v>
      </c>
      <c r="I84" s="2">
        <f t="shared" si="18"/>
        <v>55.410697013834202</v>
      </c>
      <c r="J84">
        <f t="shared" si="14"/>
        <v>777.20000000000164</v>
      </c>
      <c r="K84" s="1">
        <v>-1.2263000000000001E-4</v>
      </c>
      <c r="L84" s="2">
        <f t="shared" si="19"/>
        <v>86.112192174163496</v>
      </c>
    </row>
    <row r="85" spans="1:12">
      <c r="A85">
        <f t="shared" si="11"/>
        <v>661.40000000000259</v>
      </c>
      <c r="B85" s="1">
        <v>-5.6974E-5</v>
      </c>
      <c r="C85" s="2">
        <f t="shared" si="16"/>
        <v>47.012487354774535</v>
      </c>
      <c r="D85">
        <f t="shared" si="15"/>
        <v>715.80000000000132</v>
      </c>
      <c r="E85" s="1">
        <v>-7.1777000000000001E-5</v>
      </c>
      <c r="F85" s="2">
        <f t="shared" si="17"/>
        <v>54.726077035909384</v>
      </c>
      <c r="G85">
        <f t="shared" si="12"/>
        <v>681.40000000000259</v>
      </c>
      <c r="H85" s="1">
        <v>-6.9381000000000005E-5</v>
      </c>
      <c r="I85" s="2">
        <f t="shared" si="18"/>
        <v>55.569838527314154</v>
      </c>
      <c r="J85">
        <f t="shared" si="14"/>
        <v>777.40000000000168</v>
      </c>
      <c r="K85" s="1">
        <v>-1.2333999999999999E-4</v>
      </c>
      <c r="L85" s="2">
        <f t="shared" si="19"/>
        <v>86.588480153948879</v>
      </c>
    </row>
    <row r="86" spans="1:12">
      <c r="A86">
        <f t="shared" si="11"/>
        <v>661.60000000000264</v>
      </c>
      <c r="B86" s="1">
        <v>-5.6903000000000001E-5</v>
      </c>
      <c r="C86" s="2">
        <f t="shared" si="16"/>
        <v>46.939707172091715</v>
      </c>
      <c r="D86">
        <f t="shared" si="15"/>
        <v>716.00000000000136</v>
      </c>
      <c r="E86" s="1">
        <v>-7.2687000000000004E-5</v>
      </c>
      <c r="F86" s="2">
        <f t="shared" si="17"/>
        <v>55.404422355620021</v>
      </c>
      <c r="G86">
        <f t="shared" si="12"/>
        <v>681.60000000000264</v>
      </c>
      <c r="H86" s="1">
        <v>-6.9571000000000002E-5</v>
      </c>
      <c r="I86" s="2">
        <f t="shared" si="18"/>
        <v>55.705666278450501</v>
      </c>
      <c r="J86">
        <f t="shared" si="14"/>
        <v>777.60000000000173</v>
      </c>
      <c r="K86" s="1">
        <v>-1.2401E-4</v>
      </c>
      <c r="L86" s="2">
        <f t="shared" si="19"/>
        <v>87.036449119752902</v>
      </c>
    </row>
    <row r="87" spans="1:12">
      <c r="A87">
        <f t="shared" si="11"/>
        <v>661.80000000000268</v>
      </c>
      <c r="B87" s="1">
        <v>-5.6811000000000002E-5</v>
      </c>
      <c r="C87" s="2">
        <f t="shared" si="16"/>
        <v>46.849653157860196</v>
      </c>
      <c r="D87">
        <f t="shared" si="15"/>
        <v>716.20000000000141</v>
      </c>
      <c r="E87" s="1">
        <v>-7.3596999999999993E-5</v>
      </c>
      <c r="F87" s="2">
        <f t="shared" si="17"/>
        <v>56.082388817291147</v>
      </c>
      <c r="G87">
        <f t="shared" si="12"/>
        <v>681.80000000000268</v>
      </c>
      <c r="H87" s="1">
        <v>-6.9733999999999993E-5</v>
      </c>
      <c r="I87" s="2">
        <f t="shared" si="18"/>
        <v>55.81980171893202</v>
      </c>
      <c r="J87">
        <f t="shared" si="14"/>
        <v>777.80000000000177</v>
      </c>
      <c r="K87" s="1">
        <v>-1.2465999999999999E-4</v>
      </c>
      <c r="L87" s="2">
        <f t="shared" si="19"/>
        <v>87.470154312573712</v>
      </c>
    </row>
    <row r="88" spans="1:12">
      <c r="A88">
        <f t="shared" si="11"/>
        <v>662.00000000000273</v>
      </c>
      <c r="B88" s="1">
        <v>-5.6700000000000003E-5</v>
      </c>
      <c r="C88" s="2">
        <f t="shared" si="16"/>
        <v>46.743989786102532</v>
      </c>
      <c r="D88">
        <f t="shared" si="15"/>
        <v>716.40000000000146</v>
      </c>
      <c r="E88" s="1">
        <v>-7.4504000000000004E-5</v>
      </c>
      <c r="F88" s="2">
        <f t="shared" si="17"/>
        <v>56.757691316314798</v>
      </c>
      <c r="G88">
        <f>G87+0.2</f>
        <v>682.00000000000273</v>
      </c>
      <c r="H88" s="1">
        <v>-6.9868000000000003E-5</v>
      </c>
      <c r="I88" s="2">
        <f t="shared" si="18"/>
        <v>55.910663467354617</v>
      </c>
      <c r="J88">
        <f t="shared" si="14"/>
        <v>778.00000000000182</v>
      </c>
      <c r="K88" s="1">
        <v>-1.2527E-4</v>
      </c>
      <c r="L88" s="2">
        <f t="shared" si="19"/>
        <v>87.875576944781272</v>
      </c>
    </row>
    <row r="89" spans="1:12">
      <c r="A89">
        <f t="shared" si="11"/>
        <v>662.20000000000277</v>
      </c>
      <c r="B89" s="1">
        <v>-5.6569E-5</v>
      </c>
      <c r="C89" s="2">
        <f t="shared" si="16"/>
        <v>46.621907039999805</v>
      </c>
      <c r="D89">
        <f t="shared" si="15"/>
        <v>716.6000000000015</v>
      </c>
      <c r="E89" s="1">
        <v>-7.5407999999999994E-5</v>
      </c>
      <c r="F89" s="2">
        <f t="shared" si="17"/>
        <v>57.430332083192731</v>
      </c>
      <c r="G89">
        <f t="shared" si="12"/>
        <v>682.20000000000277</v>
      </c>
      <c r="H89" s="1">
        <v>-6.9974000000000005E-5</v>
      </c>
      <c r="I89" s="2">
        <f t="shared" si="18"/>
        <v>55.979071991275063</v>
      </c>
      <c r="J89">
        <f t="shared" si="14"/>
        <v>778.20000000000186</v>
      </c>
      <c r="K89" s="1">
        <v>-1.2584E-4</v>
      </c>
      <c r="L89" s="2">
        <f t="shared" si="19"/>
        <v>88.25273882251328</v>
      </c>
    </row>
    <row r="90" spans="1:12">
      <c r="A90">
        <f t="shared" si="11"/>
        <v>662.40000000000282</v>
      </c>
      <c r="B90" s="1">
        <v>-5.6419000000000003E-5</v>
      </c>
      <c r="C90" s="2">
        <f t="shared" si="16"/>
        <v>46.484243703333142</v>
      </c>
      <c r="D90">
        <f t="shared" si="15"/>
        <v>716.80000000000155</v>
      </c>
      <c r="E90" s="1">
        <v>-7.6308000000000002E-5</v>
      </c>
      <c r="F90" s="2">
        <f t="shared" si="17"/>
        <v>58.099551963749875</v>
      </c>
      <c r="G90">
        <f t="shared" si="12"/>
        <v>682.40000000000282</v>
      </c>
      <c r="H90" s="1">
        <v>-7.0050999999999997E-5</v>
      </c>
      <c r="I90" s="2">
        <f t="shared" si="18"/>
        <v>56.024247268979835</v>
      </c>
      <c r="J90">
        <f t="shared" si="14"/>
        <v>778.40000000000191</v>
      </c>
      <c r="K90" s="1">
        <v>-1.2637999999999999E-4</v>
      </c>
      <c r="L90" s="2">
        <f t="shared" si="19"/>
        <v>88.608673018704806</v>
      </c>
    </row>
    <row r="91" spans="1:12">
      <c r="A91">
        <f t="shared" si="11"/>
        <v>662.60000000000286</v>
      </c>
      <c r="B91" s="1">
        <v>-5.6249999999999998E-5</v>
      </c>
      <c r="C91" s="2">
        <f t="shared" si="16"/>
        <v>46.331013884696453</v>
      </c>
      <c r="D91">
        <f t="shared" si="15"/>
        <v>717.00000000000159</v>
      </c>
      <c r="E91" s="1">
        <v>-7.7204000000000001E-5</v>
      </c>
      <c r="F91" s="2">
        <f t="shared" si="17"/>
        <v>58.765353820652592</v>
      </c>
      <c r="G91" s="8">
        <f t="shared" si="12"/>
        <v>682.60000000000286</v>
      </c>
      <c r="H91" s="1">
        <v>-7.0098999999999994E-5</v>
      </c>
      <c r="I91" s="7">
        <f t="shared" si="18"/>
        <v>56.046209722308582</v>
      </c>
      <c r="J91">
        <f t="shared" si="14"/>
        <v>778.60000000000196</v>
      </c>
      <c r="K91" s="1">
        <v>-1.2688E-4</v>
      </c>
      <c r="L91" s="2">
        <f t="shared" si="19"/>
        <v>88.936386403493231</v>
      </c>
    </row>
    <row r="92" spans="1:12">
      <c r="A92">
        <f t="shared" si="11"/>
        <v>662.80000000000291</v>
      </c>
      <c r="B92" s="1">
        <v>-5.6063000000000002E-5</v>
      </c>
      <c r="C92" s="2">
        <f t="shared" si="16"/>
        <v>46.163055089583381</v>
      </c>
      <c r="D92">
        <f t="shared" si="15"/>
        <v>717.20000000000164</v>
      </c>
      <c r="E92" s="1">
        <v>-7.8092999999999999E-5</v>
      </c>
      <c r="F92" s="2">
        <f t="shared" si="17"/>
        <v>59.425457640736056</v>
      </c>
      <c r="G92" s="12">
        <f t="shared" si="12"/>
        <v>682.80000000000291</v>
      </c>
      <c r="H92" s="1">
        <v>-7.0117999999999995E-5</v>
      </c>
      <c r="I92" s="11">
        <f>-8.686*2*3.1416*(H92)/((G92)*10^-7)</f>
        <v>56.044979749173748</v>
      </c>
      <c r="J92">
        <f t="shared" si="14"/>
        <v>778.800000000002</v>
      </c>
      <c r="K92" s="1">
        <v>-1.2734000000000001E-4</v>
      </c>
      <c r="L92" s="2">
        <f t="shared" si="19"/>
        <v>89.235900718643848</v>
      </c>
    </row>
    <row r="93" spans="1:12">
      <c r="A93">
        <f t="shared" si="11"/>
        <v>663.00000000000296</v>
      </c>
      <c r="B93" s="1">
        <v>-5.5858E-5</v>
      </c>
      <c r="C93" s="2">
        <f t="shared" si="16"/>
        <v>45.980380647384408</v>
      </c>
      <c r="D93">
        <f>D92+0.2</f>
        <v>717.40000000000168</v>
      </c>
      <c r="E93" s="1">
        <v>-7.8974999999999995E-5</v>
      </c>
      <c r="F93" s="2">
        <f t="shared" si="17"/>
        <v>60.079868189573318</v>
      </c>
      <c r="G93">
        <f t="shared" si="12"/>
        <v>683.00000000000296</v>
      </c>
      <c r="H93" s="1">
        <v>-7.0109000000000002E-5</v>
      </c>
      <c r="I93" s="2">
        <f t="shared" si="18"/>
        <v>56.021376784725973</v>
      </c>
      <c r="J93">
        <f t="shared" si="14"/>
        <v>779.00000000000205</v>
      </c>
      <c r="K93" s="1">
        <v>-1.2776000000000001E-4</v>
      </c>
      <c r="L93" s="2">
        <f t="shared" si="19"/>
        <v>89.507237683594127</v>
      </c>
    </row>
    <row r="94" spans="1:12">
      <c r="A94">
        <f t="shared" ref="A94:A103" si="20">A93+0.2</f>
        <v>663.200000000003</v>
      </c>
      <c r="B94" s="1">
        <v>-5.5637000000000003E-5</v>
      </c>
      <c r="C94" s="2">
        <f t="shared" si="16"/>
        <v>45.784649706007031</v>
      </c>
      <c r="D94">
        <f t="shared" si="15"/>
        <v>717.60000000000173</v>
      </c>
      <c r="E94" s="1">
        <v>-7.9849000000000001E-5</v>
      </c>
      <c r="F94" s="2">
        <f t="shared" si="17"/>
        <v>60.727829694046683</v>
      </c>
      <c r="G94">
        <f t="shared" ref="G94:G107" si="21">G93+0.2</f>
        <v>683.200000000003</v>
      </c>
      <c r="H94" s="1">
        <v>-7.0071E-5</v>
      </c>
      <c r="I94" s="2">
        <f t="shared" si="18"/>
        <v>55.974621650163691</v>
      </c>
      <c r="J94">
        <f t="shared" si="14"/>
        <v>779.20000000000209</v>
      </c>
      <c r="K94" s="1">
        <v>-1.2814E-4</v>
      </c>
      <c r="L94" s="2">
        <f t="shared" si="19"/>
        <v>89.750418995482306</v>
      </c>
    </row>
    <row r="95" spans="1:12">
      <c r="A95">
        <f t="shared" si="20"/>
        <v>663.40000000000305</v>
      </c>
      <c r="B95" s="1">
        <v>-5.5398000000000001E-5</v>
      </c>
      <c r="C95" s="2">
        <f t="shared" si="16"/>
        <v>45.57422873574896</v>
      </c>
      <c r="D95">
        <f t="shared" si="15"/>
        <v>717.80000000000177</v>
      </c>
      <c r="E95" s="1">
        <v>-8.0712999999999998E-5</v>
      </c>
      <c r="F95" s="2">
        <f t="shared" si="17"/>
        <v>61.367826901888961</v>
      </c>
      <c r="G95">
        <f t="shared" si="21"/>
        <v>683.40000000000305</v>
      </c>
      <c r="H95" s="1">
        <v>-7.0005000000000005E-5</v>
      </c>
      <c r="I95" s="2">
        <f t="shared" si="18"/>
        <v>55.905533265671401</v>
      </c>
      <c r="J95">
        <f t="shared" si="14"/>
        <v>779.40000000000214</v>
      </c>
      <c r="K95" s="1">
        <v>-1.2846999999999999E-4</v>
      </c>
      <c r="L95" s="2">
        <f t="shared" si="19"/>
        <v>89.958464035719544</v>
      </c>
    </row>
    <row r="96" spans="1:12">
      <c r="A96">
        <f t="shared" si="20"/>
        <v>663.60000000000309</v>
      </c>
      <c r="B96" s="1">
        <v>-5.5143999999999999E-5</v>
      </c>
      <c r="C96" s="2">
        <f t="shared" si="16"/>
        <v>45.351598282531434</v>
      </c>
      <c r="D96">
        <f t="shared" si="15"/>
        <v>718.00000000000182</v>
      </c>
      <c r="E96" s="1">
        <v>-8.1567E-5</v>
      </c>
      <c r="F96" s="2">
        <f t="shared" si="17"/>
        <v>61.999866468501246</v>
      </c>
      <c r="G96">
        <f t="shared" si="21"/>
        <v>683.60000000000309</v>
      </c>
      <c r="H96" s="1">
        <v>-6.9911000000000002E-5</v>
      </c>
      <c r="I96" s="2">
        <f t="shared" si="18"/>
        <v>55.814131233282374</v>
      </c>
      <c r="J96">
        <f t="shared" si="14"/>
        <v>779.60000000000218</v>
      </c>
      <c r="K96" s="1">
        <v>-1.2877E-4</v>
      </c>
      <c r="L96" s="2">
        <f t="shared" si="19"/>
        <v>90.14540084022552</v>
      </c>
    </row>
    <row r="97" spans="1:12">
      <c r="A97">
        <f t="shared" si="20"/>
        <v>663.80000000000314</v>
      </c>
      <c r="B97" s="1">
        <v>-5.4873999999999997E-5</v>
      </c>
      <c r="C97" s="2">
        <f t="shared" si="16"/>
        <v>45.115947208869933</v>
      </c>
      <c r="D97">
        <f t="shared" si="15"/>
        <v>718.20000000000186</v>
      </c>
      <c r="E97" s="1">
        <v>-8.2409000000000003E-5</v>
      </c>
      <c r="F97" s="2">
        <f t="shared" si="17"/>
        <v>62.62243524584779</v>
      </c>
      <c r="G97">
        <f t="shared" si="21"/>
        <v>683.80000000000314</v>
      </c>
      <c r="H97" s="1">
        <v>-6.9789999999999994E-5</v>
      </c>
      <c r="I97" s="2">
        <f t="shared" si="18"/>
        <v>55.701233258379389</v>
      </c>
      <c r="J97">
        <f t="shared" si="14"/>
        <v>779.80000000000223</v>
      </c>
      <c r="K97" s="1">
        <v>-1.2903E-4</v>
      </c>
      <c r="L97" s="2">
        <f t="shared" si="19"/>
        <v>90.304246948653244</v>
      </c>
    </row>
    <row r="98" spans="1:12">
      <c r="A98">
        <f t="shared" si="20"/>
        <v>664.00000000000318</v>
      </c>
      <c r="B98" s="1">
        <v>-5.4589999999999997E-5</v>
      </c>
      <c r="C98" s="2">
        <f t="shared" si="16"/>
        <v>44.868931132047976</v>
      </c>
      <c r="D98">
        <f t="shared" si="15"/>
        <v>718.40000000000191</v>
      </c>
      <c r="E98" s="1">
        <v>-8.3237000000000003E-5</v>
      </c>
      <c r="F98" s="2">
        <f t="shared" si="17"/>
        <v>63.234021770912967</v>
      </c>
      <c r="G98">
        <f t="shared" si="21"/>
        <v>684.00000000000318</v>
      </c>
      <c r="H98" s="1">
        <v>-6.9641999999999995E-5</v>
      </c>
      <c r="I98" s="2">
        <f t="shared" si="18"/>
        <v>55.566858197052362</v>
      </c>
      <c r="J98">
        <f t="shared" si="14"/>
        <v>780.00000000000227</v>
      </c>
      <c r="K98" s="1">
        <v>-1.2924E-4</v>
      </c>
      <c r="L98" s="2">
        <f t="shared" si="19"/>
        <v>90.428027062153575</v>
      </c>
    </row>
    <row r="99" spans="1:12">
      <c r="A99">
        <f t="shared" si="20"/>
        <v>664.20000000000323</v>
      </c>
      <c r="B99" s="1">
        <v>-5.4292000000000001E-5</v>
      </c>
      <c r="C99" s="2">
        <f t="shared" si="16"/>
        <v>44.610560318554441</v>
      </c>
      <c r="D99">
        <f t="shared" si="15"/>
        <v>718.60000000000196</v>
      </c>
      <c r="E99" s="1">
        <v>-8.4050999999999999E-5</v>
      </c>
      <c r="F99" s="2">
        <f t="shared" si="17"/>
        <v>63.834635213403665</v>
      </c>
      <c r="G99">
        <f t="shared" si="21"/>
        <v>684.20000000000323</v>
      </c>
      <c r="H99" s="1">
        <v>-6.9468000000000006E-5</v>
      </c>
      <c r="I99" s="2">
        <f t="shared" si="18"/>
        <v>55.411822543022247</v>
      </c>
      <c r="J99">
        <f>J98+0.2</f>
        <v>780.20000000000232</v>
      </c>
      <c r="K99" s="1">
        <v>-1.2941E-4</v>
      </c>
      <c r="L99" s="2">
        <f t="shared" si="19"/>
        <v>90.523763261112265</v>
      </c>
    </row>
    <row r="100" spans="1:12">
      <c r="A100">
        <f t="shared" si="20"/>
        <v>664.40000000000327</v>
      </c>
      <c r="B100" s="1">
        <v>-5.3980000000000002E-5</v>
      </c>
      <c r="C100" s="2">
        <f t="shared" si="16"/>
        <v>44.340845022516348</v>
      </c>
      <c r="D100">
        <f t="shared" si="15"/>
        <v>718.800000000002</v>
      </c>
      <c r="E100" s="1">
        <v>-8.4849E-5</v>
      </c>
      <c r="F100" s="2">
        <f t="shared" si="17"/>
        <v>64.422766205408834</v>
      </c>
      <c r="G100">
        <f t="shared" si="21"/>
        <v>684.40000000000327</v>
      </c>
      <c r="H100" s="1">
        <v>-6.9268000000000002E-5</v>
      </c>
      <c r="I100" s="2">
        <f t="shared" si="18"/>
        <v>55.236144409023701</v>
      </c>
      <c r="J100">
        <f t="shared" si="14"/>
        <v>780.40000000000236</v>
      </c>
      <c r="K100" s="1">
        <v>-1.2954000000000001E-4</v>
      </c>
      <c r="L100" s="2">
        <f t="shared" si="19"/>
        <v>90.591477106714237</v>
      </c>
    </row>
    <row r="101" spans="1:12">
      <c r="A101">
        <f t="shared" si="20"/>
        <v>664.60000000000332</v>
      </c>
      <c r="B101" s="1">
        <v>-5.3655E-5</v>
      </c>
      <c r="C101" s="2">
        <f t="shared" si="16"/>
        <v>44.060616669515284</v>
      </c>
      <c r="D101">
        <f t="shared" si="15"/>
        <v>719.00000000000205</v>
      </c>
      <c r="E101" s="1">
        <v>-8.5629000000000003E-5</v>
      </c>
      <c r="F101" s="2">
        <f t="shared" si="17"/>
        <v>64.996907058425421</v>
      </c>
      <c r="G101">
        <f t="shared" si="21"/>
        <v>684.60000000000332</v>
      </c>
      <c r="H101" s="1">
        <v>-6.9042999999999996E-5</v>
      </c>
      <c r="I101" s="2">
        <f t="shared" si="18"/>
        <v>55.040639080245128</v>
      </c>
      <c r="J101">
        <f t="shared" si="14"/>
        <v>780.60000000000241</v>
      </c>
      <c r="K101" s="1">
        <v>-1.2962999999999999E-4</v>
      </c>
      <c r="L101" s="2">
        <f t="shared" si="19"/>
        <v>90.631190138047373</v>
      </c>
    </row>
    <row r="102" spans="1:12">
      <c r="A102">
        <f t="shared" si="20"/>
        <v>664.80000000000337</v>
      </c>
      <c r="B102" s="1">
        <v>-5.3319000000000002E-5</v>
      </c>
      <c r="C102" s="2">
        <f t="shared" si="16"/>
        <v>43.771526621371621</v>
      </c>
      <c r="D102">
        <f t="shared" si="15"/>
        <v>719.20000000000209</v>
      </c>
      <c r="E102" s="1">
        <v>-8.6390999999999993E-5</v>
      </c>
      <c r="F102" s="2">
        <f t="shared" si="17"/>
        <v>65.557069443870773</v>
      </c>
      <c r="G102">
        <f t="shared" si="21"/>
        <v>684.80000000000337</v>
      </c>
      <c r="H102" s="1">
        <v>-6.8793000000000004E-5</v>
      </c>
      <c r="I102" s="2">
        <f t="shared" si="18"/>
        <v>54.825323928644593</v>
      </c>
      <c r="J102" s="10">
        <f t="shared" si="14"/>
        <v>780.80000000000246</v>
      </c>
      <c r="K102" s="1">
        <v>-1.2967E-4</v>
      </c>
      <c r="L102" s="9">
        <f t="shared" si="19"/>
        <v>90.635934134016111</v>
      </c>
    </row>
    <row r="103" spans="1:12">
      <c r="A103">
        <f t="shared" si="20"/>
        <v>665.00000000000341</v>
      </c>
      <c r="B103" s="1">
        <v>-5.2970999999999998E-5</v>
      </c>
      <c r="C103" s="2">
        <f t="shared" si="16"/>
        <v>43.472762183747143</v>
      </c>
      <c r="D103">
        <f t="shared" si="15"/>
        <v>719.40000000000214</v>
      </c>
      <c r="E103" s="1">
        <v>-8.7133999999999996E-5</v>
      </c>
      <c r="F103" s="2">
        <f t="shared" si="17"/>
        <v>66.102506389724567</v>
      </c>
      <c r="G103">
        <f t="shared" si="21"/>
        <v>685.00000000000341</v>
      </c>
      <c r="H103" s="1">
        <v>-6.8520000000000001E-5</v>
      </c>
      <c r="I103" s="2">
        <f t="shared" si="18"/>
        <v>54.591809762101924</v>
      </c>
      <c r="J103">
        <f t="shared" si="14"/>
        <v>781.0000000000025</v>
      </c>
      <c r="K103" s="1">
        <v>-1.2967E-4</v>
      </c>
      <c r="L103" s="2">
        <f t="shared" si="19"/>
        <v>90.612723907605343</v>
      </c>
    </row>
    <row r="104" spans="1:12">
      <c r="A104">
        <f>A103+0.2</f>
        <v>665.20000000000346</v>
      </c>
      <c r="B104" s="1">
        <v>-5.2611999999999997E-5</v>
      </c>
      <c r="C104" s="2">
        <f t="shared" si="16"/>
        <v>43.165152525892736</v>
      </c>
      <c r="D104">
        <f t="shared" si="15"/>
        <v>719.60000000000218</v>
      </c>
      <c r="E104" s="1">
        <v>-8.7855000000000005E-5</v>
      </c>
      <c r="F104" s="2">
        <f t="shared" si="17"/>
        <v>66.630954915174911</v>
      </c>
      <c r="G104">
        <f t="shared" si="21"/>
        <v>685.20000000000346</v>
      </c>
      <c r="H104" s="1">
        <v>-6.8224000000000003E-5</v>
      </c>
      <c r="I104" s="2">
        <f t="shared" si="18"/>
        <v>54.340112516707265</v>
      </c>
      <c r="J104">
        <f t="shared" si="14"/>
        <v>781.20000000000255</v>
      </c>
      <c r="K104" s="1">
        <v>-1.2962999999999999E-4</v>
      </c>
      <c r="L104" s="2">
        <f t="shared" si="19"/>
        <v>90.561580929031962</v>
      </c>
    </row>
    <row r="105" spans="1:12">
      <c r="A105">
        <f t="shared" ref="A105:A116" si="22">A104+0.2</f>
        <v>665.4000000000035</v>
      </c>
      <c r="B105" s="1">
        <v>-5.2243000000000001E-5</v>
      </c>
      <c r="C105" s="2">
        <f t="shared" si="16"/>
        <v>42.849525820162086</v>
      </c>
      <c r="D105">
        <f t="shared" si="15"/>
        <v>719.80000000000223</v>
      </c>
      <c r="E105" s="1">
        <v>-8.8553000000000004E-5</v>
      </c>
      <c r="F105" s="2">
        <f t="shared" si="17"/>
        <v>67.141670972292104</v>
      </c>
      <c r="G105">
        <f t="shared" si="21"/>
        <v>685.4000000000035</v>
      </c>
      <c r="H105" s="1">
        <v>-6.7905999999999997E-5</v>
      </c>
      <c r="I105" s="2">
        <f t="shared" si="18"/>
        <v>54.071044373084057</v>
      </c>
      <c r="J105">
        <f t="shared" si="14"/>
        <v>781.40000000000259</v>
      </c>
      <c r="K105" s="1">
        <v>-1.2955E-4</v>
      </c>
      <c r="L105" s="2">
        <f t="shared" si="19"/>
        <v>90.482526646531582</v>
      </c>
    </row>
    <row r="106" spans="1:12">
      <c r="A106">
        <f t="shared" si="22"/>
        <v>665.60000000000355</v>
      </c>
      <c r="B106" s="1">
        <v>-5.1863999999999997E-5</v>
      </c>
      <c r="C106" s="2">
        <f t="shared" si="16"/>
        <v>42.525889293461312</v>
      </c>
      <c r="D106">
        <f t="shared" si="15"/>
        <v>720.00000000000227</v>
      </c>
      <c r="E106" s="1">
        <v>-8.9227000000000005E-5</v>
      </c>
      <c r="F106" s="2">
        <f t="shared" si="17"/>
        <v>67.633911339866458</v>
      </c>
      <c r="G106">
        <f t="shared" si="21"/>
        <v>685.60000000000355</v>
      </c>
      <c r="H106" s="1">
        <v>-6.7565999999999997E-5</v>
      </c>
      <c r="I106" s="2">
        <f t="shared" si="18"/>
        <v>53.78462053330194</v>
      </c>
      <c r="J106">
        <f t="shared" si="14"/>
        <v>781.60000000000264</v>
      </c>
      <c r="K106" s="1">
        <v>-1.2943000000000001E-4</v>
      </c>
      <c r="L106" s="2">
        <f t="shared" si="19"/>
        <v>90.375582486386605</v>
      </c>
    </row>
    <row r="107" spans="1:12">
      <c r="A107">
        <f t="shared" si="22"/>
        <v>665.80000000000359</v>
      </c>
      <c r="B107" s="1">
        <v>-5.1477000000000002E-5</v>
      </c>
      <c r="C107" s="2">
        <f t="shared" si="16"/>
        <v>42.195889571498718</v>
      </c>
      <c r="D107">
        <f t="shared" si="15"/>
        <v>720.20000000000232</v>
      </c>
      <c r="E107" s="1">
        <v>-8.9876000000000005E-5</v>
      </c>
      <c r="F107" s="2">
        <f t="shared" si="17"/>
        <v>68.106933622260257</v>
      </c>
      <c r="G107">
        <f t="shared" si="21"/>
        <v>685.80000000000359</v>
      </c>
      <c r="H107" s="1">
        <v>-6.7206999999999995E-5</v>
      </c>
      <c r="I107" s="2">
        <f t="shared" si="18"/>
        <v>53.483243577812495</v>
      </c>
      <c r="J107">
        <f t="shared" si="14"/>
        <v>781.80000000000268</v>
      </c>
      <c r="K107" s="1">
        <v>-1.2926999999999999E-4</v>
      </c>
      <c r="L107" s="2">
        <f t="shared" si="19"/>
        <v>90.240769852954386</v>
      </c>
    </row>
    <row r="108" spans="1:12">
      <c r="A108">
        <f t="shared" si="22"/>
        <v>666.00000000000364</v>
      </c>
      <c r="B108" s="1">
        <v>-5.1081000000000001E-5</v>
      </c>
      <c r="C108" s="2">
        <f t="shared" si="16"/>
        <v>41.85871292929707</v>
      </c>
      <c r="D108">
        <f t="shared" si="15"/>
        <v>720.40000000000236</v>
      </c>
      <c r="E108" s="1">
        <v>-9.0499000000000002E-5</v>
      </c>
      <c r="F108" s="2">
        <f t="shared" si="17"/>
        <v>68.559996248261839</v>
      </c>
      <c r="G108">
        <f>G107+0.2</f>
        <v>686.00000000000364</v>
      </c>
      <c r="H108" s="1">
        <v>-6.6828000000000005E-5</v>
      </c>
      <c r="I108" s="2">
        <f t="shared" si="18"/>
        <v>53.166131018448695</v>
      </c>
      <c r="J108">
        <f t="shared" si="14"/>
        <v>782.00000000000273</v>
      </c>
      <c r="K108" s="1">
        <v>-1.2907000000000001E-4</v>
      </c>
      <c r="L108" s="2">
        <f t="shared" si="19"/>
        <v>90.078110128695343</v>
      </c>
    </row>
    <row r="109" spans="1:12">
      <c r="A109">
        <f t="shared" si="22"/>
        <v>666.20000000000368</v>
      </c>
      <c r="B109" s="1">
        <v>-5.0677999999999998E-5</v>
      </c>
      <c r="C109" s="2">
        <f t="shared" si="16"/>
        <v>41.516004253761402</v>
      </c>
      <c r="D109">
        <f t="shared" si="15"/>
        <v>720.60000000000241</v>
      </c>
      <c r="E109" s="1">
        <v>-9.1094000000000006E-5</v>
      </c>
      <c r="F109" s="2">
        <f t="shared" si="17"/>
        <v>68.991601102814087</v>
      </c>
      <c r="G109">
        <f t="shared" ref="G109:G132" si="23">G108+0.2</f>
        <v>686.20000000000368</v>
      </c>
      <c r="H109" s="1">
        <v>-6.6429999999999999E-5</v>
      </c>
      <c r="I109" s="2">
        <f t="shared" si="18"/>
        <v>52.834091948935885</v>
      </c>
      <c r="J109">
        <f>J108+0.2</f>
        <v>782.20000000000277</v>
      </c>
      <c r="K109" s="1">
        <v>-1.2883E-4</v>
      </c>
      <c r="L109" s="2">
        <f t="shared" si="19"/>
        <v>89.887624674200651</v>
      </c>
    </row>
    <row r="110" spans="1:12">
      <c r="A110">
        <f t="shared" si="22"/>
        <v>666.40000000000373</v>
      </c>
      <c r="B110" s="1">
        <v>-5.0268000000000001E-5</v>
      </c>
      <c r="C110" s="2">
        <f t="shared" si="16"/>
        <v>41.16776852571406</v>
      </c>
      <c r="D110">
        <f t="shared" si="15"/>
        <v>720.80000000000246</v>
      </c>
      <c r="E110" s="1">
        <v>-9.1658999999999998E-5</v>
      </c>
      <c r="F110" s="2">
        <f t="shared" si="17"/>
        <v>69.400251733584668</v>
      </c>
      <c r="G110">
        <f t="shared" si="23"/>
        <v>686.40000000000373</v>
      </c>
      <c r="H110" s="1">
        <v>-6.6015999999999999E-5</v>
      </c>
      <c r="I110" s="2">
        <f t="shared" si="18"/>
        <v>52.489524726153562</v>
      </c>
      <c r="J110">
        <f t="shared" si="14"/>
        <v>782.40000000000282</v>
      </c>
      <c r="K110" s="1">
        <v>-1.2855000000000001E-4</v>
      </c>
      <c r="L110" s="2">
        <f t="shared" si="19"/>
        <v>89.669334828220542</v>
      </c>
    </row>
    <row r="111" spans="1:12">
      <c r="A111">
        <f t="shared" si="22"/>
        <v>666.60000000000377</v>
      </c>
      <c r="B111" s="1">
        <v>-4.9852000000000003E-5</v>
      </c>
      <c r="C111" s="2">
        <f t="shared" si="16"/>
        <v>40.814829439999777</v>
      </c>
      <c r="D111">
        <f t="shared" si="15"/>
        <v>721.0000000000025</v>
      </c>
      <c r="E111" s="1">
        <v>-9.2194999999999994E-5</v>
      </c>
      <c r="F111" s="2">
        <f t="shared" si="17"/>
        <v>69.786724189514317</v>
      </c>
      <c r="G111">
        <f t="shared" si="23"/>
        <v>686.60000000000377</v>
      </c>
      <c r="H111" s="1">
        <v>-6.5584000000000001E-5</v>
      </c>
      <c r="I111" s="2">
        <f t="shared" si="18"/>
        <v>52.130850555152641</v>
      </c>
      <c r="J111">
        <f t="shared" si="14"/>
        <v>782.60000000000286</v>
      </c>
      <c r="K111" s="1">
        <v>-1.2824000000000001E-4</v>
      </c>
      <c r="L111" s="2">
        <f t="shared" si="19"/>
        <v>89.430235569230447</v>
      </c>
    </row>
    <row r="112" spans="1:12">
      <c r="A112">
        <f t="shared" si="22"/>
        <v>666.80000000000382</v>
      </c>
      <c r="B112" s="1">
        <v>-4.9431000000000002E-5</v>
      </c>
      <c r="C112" s="2">
        <f t="shared" si="16"/>
        <v>40.45800970322712</v>
      </c>
      <c r="D112">
        <f t="shared" si="15"/>
        <v>721.20000000000255</v>
      </c>
      <c r="E112" s="1">
        <v>-9.2700000000000004E-5</v>
      </c>
      <c r="F112" s="2">
        <f t="shared" si="17"/>
        <v>70.149523447587114</v>
      </c>
      <c r="G112">
        <f t="shared" si="23"/>
        <v>686.80000000000382</v>
      </c>
      <c r="H112" s="1">
        <v>-6.5136999999999997E-5</v>
      </c>
      <c r="I112" s="2">
        <f t="shared" si="18"/>
        <v>51.760465679999712</v>
      </c>
      <c r="J112">
        <f t="shared" si="14"/>
        <v>782.80000000000291</v>
      </c>
      <c r="K112" s="1">
        <v>-1.2789E-4</v>
      </c>
      <c r="L112" s="2">
        <f t="shared" si="19"/>
        <v>89.163370967398748</v>
      </c>
    </row>
    <row r="113" spans="1:12">
      <c r="A113">
        <f t="shared" si="22"/>
        <v>667.00000000000387</v>
      </c>
      <c r="B113" s="1">
        <v>-4.9004E-5</v>
      </c>
      <c r="C113" s="2">
        <f t="shared" si="16"/>
        <v>40.096494577223154</v>
      </c>
      <c r="D113">
        <f>D112+0.2</f>
        <v>721.40000000000259</v>
      </c>
      <c r="E113" s="1">
        <v>-9.3171999999999995E-5</v>
      </c>
      <c r="F113" s="2">
        <f t="shared" si="17"/>
        <v>70.487156142700059</v>
      </c>
      <c r="G113">
        <f t="shared" si="23"/>
        <v>687.00000000000387</v>
      </c>
      <c r="H113" s="1">
        <v>-6.4676000000000002E-5</v>
      </c>
      <c r="I113" s="2">
        <f t="shared" si="18"/>
        <v>51.379174737047748</v>
      </c>
      <c r="J113">
        <f t="shared" si="14"/>
        <v>783.00000000000296</v>
      </c>
      <c r="K113" s="1">
        <v>-1.2750000000000001E-4</v>
      </c>
      <c r="L113" s="2">
        <f t="shared" si="19"/>
        <v>88.868762298850243</v>
      </c>
    </row>
    <row r="114" spans="1:12">
      <c r="A114">
        <f t="shared" si="22"/>
        <v>667.20000000000391</v>
      </c>
      <c r="B114" s="1">
        <v>-4.8572000000000002E-5</v>
      </c>
      <c r="C114" s="2">
        <f t="shared" si="16"/>
        <v>39.731106268201202</v>
      </c>
      <c r="D114">
        <f t="shared" si="15"/>
        <v>721.60000000000264</v>
      </c>
      <c r="E114" s="1">
        <v>-9.3610999999999995E-5</v>
      </c>
      <c r="F114" s="2">
        <f t="shared" si="17"/>
        <v>70.799643200487537</v>
      </c>
      <c r="G114">
        <f t="shared" si="23"/>
        <v>687.20000000000391</v>
      </c>
      <c r="H114" s="1">
        <v>-6.4200000000000002E-5</v>
      </c>
      <c r="I114" s="2">
        <f t="shared" si="18"/>
        <v>50.986193071012522</v>
      </c>
      <c r="J114">
        <f t="shared" ref="J114:J116" si="24">J113+0.2</f>
        <v>783.200000000003</v>
      </c>
      <c r="K114" s="1">
        <v>-1.2709E-4</v>
      </c>
      <c r="L114" s="2">
        <f t="shared" si="19"/>
        <v>88.560367456179449</v>
      </c>
    </row>
    <row r="115" spans="1:12">
      <c r="A115">
        <f t="shared" si="22"/>
        <v>667.40000000000396</v>
      </c>
      <c r="B115" s="1">
        <v>-4.8136000000000001E-5</v>
      </c>
      <c r="C115" s="2">
        <f t="shared" si="16"/>
        <v>39.362665996811273</v>
      </c>
      <c r="D115">
        <f t="shared" si="15"/>
        <v>721.80000000000268</v>
      </c>
      <c r="E115" s="1">
        <v>-9.4016000000000002E-5</v>
      </c>
      <c r="F115" s="2">
        <f t="shared" si="17"/>
        <v>71.08624941539459</v>
      </c>
      <c r="G115">
        <f t="shared" si="23"/>
        <v>687.40000000000396</v>
      </c>
      <c r="H115" s="1">
        <v>-6.3712000000000003E-5</v>
      </c>
      <c r="I115" s="2">
        <f t="shared" si="18"/>
        <v>50.5839127253765</v>
      </c>
      <c r="J115">
        <f t="shared" si="24"/>
        <v>783.40000000000305</v>
      </c>
      <c r="K115" s="1">
        <v>-1.2663E-4</v>
      </c>
      <c r="L115" s="2">
        <f t="shared" si="19"/>
        <v>88.217297377788796</v>
      </c>
    </row>
    <row r="116" spans="1:12">
      <c r="A116">
        <f t="shared" si="22"/>
        <v>667.600000000004</v>
      </c>
      <c r="B116" s="1">
        <v>-4.7697000000000001E-5</v>
      </c>
      <c r="C116" s="2">
        <f t="shared" si="16"/>
        <v>38.991993999616305</v>
      </c>
      <c r="D116">
        <f t="shared" si="15"/>
        <v>722.00000000000273</v>
      </c>
      <c r="E116" s="1">
        <v>-9.4387000000000003E-5</v>
      </c>
      <c r="F116" s="2">
        <f t="shared" si="17"/>
        <v>71.346996295046836</v>
      </c>
      <c r="G116">
        <f t="shared" si="23"/>
        <v>687.600000000004</v>
      </c>
      <c r="H116" s="1">
        <v>-6.3212000000000004E-5</v>
      </c>
      <c r="I116" s="2">
        <f t="shared" si="18"/>
        <v>50.172341814170743</v>
      </c>
      <c r="J116">
        <f t="shared" si="24"/>
        <v>783.60000000000309</v>
      </c>
      <c r="K116" s="1">
        <v>-1.2615E-4</v>
      </c>
      <c r="L116" s="2">
        <f t="shared" si="19"/>
        <v>87.860472900459087</v>
      </c>
    </row>
    <row r="117" spans="1:12">
      <c r="A117">
        <f>A116+0.2</f>
        <v>667.80000000000405</v>
      </c>
      <c r="B117" s="1">
        <v>-4.7253999999999999E-5</v>
      </c>
      <c r="C117" s="2">
        <f t="shared" si="16"/>
        <v>38.618275032955744</v>
      </c>
      <c r="D117">
        <f t="shared" si="15"/>
        <v>722.20000000000277</v>
      </c>
      <c r="E117" s="1">
        <v>-9.4721000000000003E-5</v>
      </c>
      <c r="F117" s="2">
        <f t="shared" si="17"/>
        <v>71.579638255596521</v>
      </c>
      <c r="G117">
        <f t="shared" si="23"/>
        <v>687.80000000000405</v>
      </c>
      <c r="H117" s="1">
        <v>-6.2700999999999995E-5</v>
      </c>
      <c r="I117" s="2">
        <f t="shared" si="18"/>
        <v>49.752281926652806</v>
      </c>
      <c r="J117">
        <f>J116+0.2</f>
        <v>783.80000000000314</v>
      </c>
      <c r="K117" s="1">
        <v>-1.2564E-4</v>
      </c>
      <c r="L117" s="2">
        <f t="shared" si="19"/>
        <v>87.48294156835891</v>
      </c>
    </row>
    <row r="118" spans="1:12">
      <c r="A118">
        <f t="shared" ref="A118:A120" si="25">A117+0.2</f>
        <v>668.00000000000409</v>
      </c>
      <c r="B118" s="1">
        <v>-4.6808999999999999E-5</v>
      </c>
      <c r="C118" s="2">
        <f t="shared" si="16"/>
        <v>38.243145841868028</v>
      </c>
      <c r="D118">
        <f t="shared" si="15"/>
        <v>722.40000000000282</v>
      </c>
      <c r="E118" s="1">
        <v>-9.5019999999999995E-5</v>
      </c>
      <c r="F118" s="2">
        <f t="shared" si="17"/>
        <v>71.785709599999706</v>
      </c>
      <c r="G118">
        <f t="shared" si="23"/>
        <v>688.00000000000409</v>
      </c>
      <c r="H118" s="1">
        <v>-6.2180000000000004E-5</v>
      </c>
      <c r="I118" s="2">
        <f t="shared" si="18"/>
        <v>49.324533719999707</v>
      </c>
      <c r="J118">
        <f t="shared" ref="J118:J123" si="26">J117+0.2</f>
        <v>784.00000000000318</v>
      </c>
      <c r="K118" s="1">
        <v>-1.2510000000000001E-4</v>
      </c>
      <c r="L118" s="2">
        <f t="shared" si="19"/>
        <v>87.084719228571075</v>
      </c>
    </row>
    <row r="119" spans="1:12">
      <c r="A119">
        <f t="shared" si="25"/>
        <v>668.20000000000414</v>
      </c>
      <c r="B119" s="1">
        <v>-4.6362000000000001E-5</v>
      </c>
      <c r="C119" s="2">
        <f t="shared" si="16"/>
        <v>37.866607692642688</v>
      </c>
      <c r="D119">
        <f t="shared" si="15"/>
        <v>722.60000000000286</v>
      </c>
      <c r="E119" s="1">
        <v>-9.5282E-5</v>
      </c>
      <c r="F119" s="2">
        <f t="shared" si="17"/>
        <v>71.963721848967324</v>
      </c>
      <c r="G119">
        <f t="shared" si="23"/>
        <v>688.20000000000414</v>
      </c>
      <c r="H119" s="1">
        <v>-6.1649999999999994E-5</v>
      </c>
      <c r="I119" s="2">
        <f t="shared" si="18"/>
        <v>48.889896920662295</v>
      </c>
      <c r="J119">
        <f t="shared" si="26"/>
        <v>784.20000000000323</v>
      </c>
      <c r="K119" s="1">
        <v>-1.2453E-4</v>
      </c>
      <c r="L119" s="2">
        <f t="shared" si="19"/>
        <v>86.665821712011891</v>
      </c>
    </row>
    <row r="120" spans="1:12">
      <c r="A120">
        <f t="shared" si="25"/>
        <v>668.40000000000418</v>
      </c>
      <c r="B120" s="1">
        <v>-4.5912999999999999E-5</v>
      </c>
      <c r="C120" s="2">
        <f t="shared" si="16"/>
        <v>37.488661850053631</v>
      </c>
      <c r="D120">
        <f>D119+0.2</f>
        <v>722.80000000000291</v>
      </c>
      <c r="E120" s="1">
        <v>-9.5506000000000003E-5</v>
      </c>
      <c r="F120" s="2">
        <f t="shared" si="17"/>
        <v>72.112943232584101</v>
      </c>
      <c r="G120">
        <f t="shared" si="23"/>
        <v>688.40000000000418</v>
      </c>
      <c r="H120" s="1">
        <v>-6.1111999999999994E-5</v>
      </c>
      <c r="I120" s="2">
        <f t="shared" si="18"/>
        <v>48.449170325717304</v>
      </c>
      <c r="J120">
        <f t="shared" si="26"/>
        <v>784.40000000000327</v>
      </c>
      <c r="K120" s="1">
        <v>-1.2392999999999999E-4</v>
      </c>
      <c r="L120" s="2">
        <f t="shared" si="19"/>
        <v>86.22626483345195</v>
      </c>
    </row>
    <row r="121" spans="1:12">
      <c r="A121">
        <f>A120+0.2</f>
        <v>668.60000000000423</v>
      </c>
      <c r="B121" s="1">
        <v>-4.5463000000000002E-5</v>
      </c>
      <c r="C121" s="2">
        <f t="shared" si="16"/>
        <v>37.110125848303689</v>
      </c>
      <c r="D121">
        <f t="shared" si="15"/>
        <v>723.00000000000296</v>
      </c>
      <c r="E121" s="1">
        <v>-9.5693999999999996E-5</v>
      </c>
      <c r="F121" s="2">
        <f t="shared" si="17"/>
        <v>72.234907349775625</v>
      </c>
      <c r="G121">
        <f t="shared" si="23"/>
        <v>688.60000000000423</v>
      </c>
      <c r="H121" s="1">
        <v>-6.0566000000000003E-5</v>
      </c>
      <c r="I121" s="2">
        <f t="shared" si="18"/>
        <v>48.002359241405458</v>
      </c>
      <c r="J121">
        <f t="shared" si="26"/>
        <v>784.60000000000332</v>
      </c>
      <c r="K121" s="1">
        <v>-1.2331000000000001E-4</v>
      </c>
      <c r="L121" s="2">
        <f t="shared" si="19"/>
        <v>85.773020276726641</v>
      </c>
    </row>
    <row r="122" spans="1:12">
      <c r="A122">
        <f t="shared" ref="A122" si="27">A121+0.2</f>
        <v>668.80000000000427</v>
      </c>
      <c r="B122" s="1">
        <v>-4.5012000000000002E-5</v>
      </c>
      <c r="C122" s="2">
        <f t="shared" si="16"/>
        <v>36.731000216841871</v>
      </c>
      <c r="D122">
        <f t="shared" ref="D122:D126" si="28">D121+0.2</f>
        <v>723.200000000003</v>
      </c>
      <c r="E122" s="1">
        <v>-9.5842999999999997E-5</v>
      </c>
      <c r="F122" s="2">
        <f t="shared" si="17"/>
        <v>72.327372881548371</v>
      </c>
      <c r="G122">
        <f t="shared" si="23"/>
        <v>688.80000000000427</v>
      </c>
      <c r="H122" s="1">
        <v>-6.0013999999999998E-5</v>
      </c>
      <c r="I122" s="2">
        <f t="shared" si="18"/>
        <v>47.551053633170433</v>
      </c>
      <c r="J122">
        <f t="shared" si="26"/>
        <v>784.80000000000337</v>
      </c>
      <c r="K122" s="1">
        <v>-1.2266999999999999E-4</v>
      </c>
      <c r="L122" s="2">
        <f t="shared" si="19"/>
        <v>85.306098506421648</v>
      </c>
    </row>
    <row r="123" spans="1:12">
      <c r="A123">
        <f>A122+0.2</f>
        <v>669.00000000000432</v>
      </c>
      <c r="B123" s="1">
        <v>-4.4561000000000002E-5</v>
      </c>
      <c r="C123" s="2">
        <f t="shared" si="16"/>
        <v>36.352101267371964</v>
      </c>
      <c r="D123">
        <f t="shared" si="28"/>
        <v>723.40000000000305</v>
      </c>
      <c r="E123" s="1">
        <v>-9.5954999999999999E-5</v>
      </c>
      <c r="F123" s="2">
        <f t="shared" si="17"/>
        <v>72.391873165827732</v>
      </c>
      <c r="G123">
        <f t="shared" si="23"/>
        <v>689.00000000000432</v>
      </c>
      <c r="H123" s="1">
        <v>-5.9454999999999999E-5</v>
      </c>
      <c r="I123" s="2">
        <f t="shared" si="18"/>
        <v>47.094465312278366</v>
      </c>
      <c r="J123">
        <f t="shared" si="26"/>
        <v>785.00000000000341</v>
      </c>
      <c r="K123" s="1">
        <v>-1.22E-4</v>
      </c>
      <c r="L123" s="2">
        <f t="shared" si="19"/>
        <v>84.818557635668412</v>
      </c>
    </row>
    <row r="124" spans="1:12">
      <c r="A124">
        <f t="shared" ref="A124" si="29">A123+0.2</f>
        <v>669.20000000000437</v>
      </c>
      <c r="B124" s="1">
        <v>-4.4109000000000001E-5</v>
      </c>
      <c r="C124" s="2">
        <f t="shared" si="16"/>
        <v>35.972613257572988</v>
      </c>
      <c r="D124">
        <f t="shared" si="28"/>
        <v>723.60000000000309</v>
      </c>
      <c r="E124" s="1">
        <v>-9.6028999999999998E-5</v>
      </c>
      <c r="F124" s="2">
        <f t="shared" si="17"/>
        <v>72.427677163913458</v>
      </c>
      <c r="G124">
        <f t="shared" si="23"/>
        <v>689.20000000000437</v>
      </c>
      <c r="H124" s="1">
        <v>-5.8891999999999998E-5</v>
      </c>
      <c r="I124" s="2">
        <f t="shared" si="18"/>
        <v>46.634974496204002</v>
      </c>
      <c r="J124">
        <f>J123+0.2</f>
        <v>785.20000000000346</v>
      </c>
      <c r="K124" s="1">
        <v>-1.2131E-4</v>
      </c>
      <c r="L124" s="2">
        <f t="shared" si="19"/>
        <v>84.317363990218681</v>
      </c>
    </row>
    <row r="125" spans="1:12">
      <c r="A125">
        <f>A124+0.2</f>
        <v>669.40000000000441</v>
      </c>
      <c r="B125" s="1">
        <v>-4.3658000000000001E-5</v>
      </c>
      <c r="C125" s="2">
        <f t="shared" si="16"/>
        <v>35.594167306268069</v>
      </c>
      <c r="D125" s="3">
        <f t="shared" si="28"/>
        <v>723.80000000000314</v>
      </c>
      <c r="E125" s="1">
        <v>-9.6064999999999996E-5</v>
      </c>
      <c r="F125" s="4">
        <f t="shared" si="17"/>
        <v>72.434808663829472</v>
      </c>
      <c r="G125">
        <f t="shared" si="23"/>
        <v>689.40000000000441</v>
      </c>
      <c r="H125" s="1">
        <v>-5.8323999999999999E-5</v>
      </c>
      <c r="I125" s="2">
        <f t="shared" si="18"/>
        <v>46.171792067954449</v>
      </c>
      <c r="J125">
        <f t="shared" ref="J125:J132" si="30">J124+0.2</f>
        <v>785.4000000000035</v>
      </c>
      <c r="K125" s="1">
        <v>-1.206E-4</v>
      </c>
      <c r="L125" s="2">
        <f t="shared" si="19"/>
        <v>83.802527999999626</v>
      </c>
    </row>
    <row r="126" spans="1:12">
      <c r="A126">
        <f t="shared" ref="A126" si="31">A125+0.2</f>
        <v>669.60000000000446</v>
      </c>
      <c r="B126" s="1">
        <v>-4.3207000000000002E-5</v>
      </c>
      <c r="C126" s="2">
        <f t="shared" si="16"/>
        <v>35.21594742781339</v>
      </c>
      <c r="D126">
        <f t="shared" si="28"/>
        <v>724.00000000000318</v>
      </c>
      <c r="E126" s="1">
        <v>-9.6063999999999994E-5</v>
      </c>
      <c r="F126" s="2">
        <f t="shared" si="17"/>
        <v>72.41404523774554</v>
      </c>
      <c r="G126">
        <f t="shared" si="23"/>
        <v>689.60000000000446</v>
      </c>
      <c r="H126" s="1">
        <v>-5.7751000000000003E-5</v>
      </c>
      <c r="I126" s="2">
        <f t="shared" si="18"/>
        <v>45.704921239489273</v>
      </c>
      <c r="J126">
        <f t="shared" si="30"/>
        <v>785.60000000000355</v>
      </c>
      <c r="K126" s="1">
        <v>-1.1987E-4</v>
      </c>
      <c r="L126" s="2">
        <f t="shared" si="19"/>
        <v>83.274060084317355</v>
      </c>
    </row>
    <row r="127" spans="1:12">
      <c r="A127">
        <f>A126+0.2</f>
        <v>669.8000000000045</v>
      </c>
      <c r="B127" s="1">
        <v>-4.2758E-5</v>
      </c>
      <c r="C127" s="2">
        <f t="shared" si="16"/>
        <v>34.839583036751037</v>
      </c>
      <c r="D127">
        <f>D126+0.2</f>
        <v>724.20000000000323</v>
      </c>
      <c r="E127" s="1">
        <v>-9.6026000000000005E-5</v>
      </c>
      <c r="F127" s="2">
        <f t="shared" si="17"/>
        <v>72.365409996619405</v>
      </c>
      <c r="G127">
        <f t="shared" si="23"/>
        <v>689.8000000000045</v>
      </c>
      <c r="H127" s="1">
        <v>-5.7176000000000003E-5</v>
      </c>
      <c r="I127" s="2">
        <f t="shared" si="18"/>
        <v>45.236738771168163</v>
      </c>
      <c r="J127">
        <f t="shared" si="30"/>
        <v>785.80000000000359</v>
      </c>
      <c r="K127" s="1">
        <v>-1.1913000000000001E-4</v>
      </c>
      <c r="L127" s="2">
        <f t="shared" si="19"/>
        <v>82.738915914685293</v>
      </c>
    </row>
    <row r="128" spans="1:12">
      <c r="A128">
        <f t="shared" ref="A128" si="32">A127+0.2</f>
        <v>670.00000000000455</v>
      </c>
      <c r="B128" s="1">
        <v>-4.231E-5</v>
      </c>
      <c r="C128" s="2">
        <f t="shared" si="16"/>
        <v>34.464257906149015</v>
      </c>
      <c r="D128">
        <f t="shared" ref="D128:D139" si="33">D127+0.2</f>
        <v>724.40000000000327</v>
      </c>
      <c r="E128" s="1">
        <v>-9.5951000000000003E-5</v>
      </c>
      <c r="F128" s="2">
        <f t="shared" si="17"/>
        <v>72.288926025885914</v>
      </c>
      <c r="G128">
        <f t="shared" si="23"/>
        <v>690.00000000000455</v>
      </c>
      <c r="H128" s="1">
        <v>-5.6598999999999998E-5</v>
      </c>
      <c r="I128" s="2">
        <f t="shared" si="18"/>
        <v>44.767245803547524</v>
      </c>
      <c r="J128">
        <f t="shared" si="30"/>
        <v>786.00000000000364</v>
      </c>
      <c r="K128" s="1">
        <v>-1.1836999999999999E-4</v>
      </c>
      <c r="L128" s="2">
        <f t="shared" si="19"/>
        <v>82.190157091908006</v>
      </c>
    </row>
    <row r="129" spans="1:12">
      <c r="A129">
        <v>671</v>
      </c>
      <c r="B129" s="1">
        <v>-4.0096999999999999E-5</v>
      </c>
      <c r="C129" s="2">
        <f t="shared" si="16"/>
        <v>32.612948850885246</v>
      </c>
      <c r="D129">
        <f t="shared" si="33"/>
        <v>724.60000000000332</v>
      </c>
      <c r="E129" s="1">
        <v>-9.5840000000000004E-5</v>
      </c>
      <c r="F129" s="2">
        <f t="shared" si="17"/>
        <v>72.185369571735805</v>
      </c>
      <c r="G129">
        <f t="shared" si="23"/>
        <v>690.20000000000459</v>
      </c>
      <c r="H129" s="1">
        <v>-5.6020000000000002E-5</v>
      </c>
      <c r="I129" s="2">
        <f t="shared" si="18"/>
        <v>44.296443475861778</v>
      </c>
      <c r="J129">
        <f t="shared" si="30"/>
        <v>786.20000000000368</v>
      </c>
      <c r="K129" s="1">
        <v>-1.1759E-4</v>
      </c>
      <c r="L129" s="2">
        <f t="shared" si="19"/>
        <v>81.627794006206699</v>
      </c>
    </row>
    <row r="130" spans="1:12">
      <c r="A130">
        <f>A129+1</f>
        <v>672</v>
      </c>
      <c r="B130" s="1">
        <v>-3.7951000000000003E-5</v>
      </c>
      <c r="C130" s="2">
        <f t="shared" si="16"/>
        <v>30.821563091000002</v>
      </c>
      <c r="D130">
        <f t="shared" si="33"/>
        <v>724.80000000000337</v>
      </c>
      <c r="E130" s="1">
        <v>-9.5693999999999996E-5</v>
      </c>
      <c r="F130" s="2">
        <f t="shared" si="17"/>
        <v>72.055516023575819</v>
      </c>
      <c r="G130">
        <f t="shared" si="23"/>
        <v>690.40000000000464</v>
      </c>
      <c r="H130" s="1">
        <v>-5.5439999999999998E-5</v>
      </c>
      <c r="I130" s="2">
        <f t="shared" si="18"/>
        <v>43.825123422479422</v>
      </c>
      <c r="J130">
        <f t="shared" si="30"/>
        <v>786.40000000000373</v>
      </c>
      <c r="K130" s="1">
        <v>-1.1680000000000001E-4</v>
      </c>
      <c r="L130" s="2">
        <f t="shared" si="19"/>
        <v>81.058777001016907</v>
      </c>
    </row>
    <row r="131" spans="1:12">
      <c r="A131">
        <f t="shared" ref="A131:A158" si="34">A130+1</f>
        <v>673</v>
      </c>
      <c r="B131" s="1">
        <v>-3.5890999999999999E-5</v>
      </c>
      <c r="C131" s="2">
        <f t="shared" ref="C131:C188" si="35">-8.686*2*3.1416*(B131)/((A131)*10^-7)</f>
        <v>29.105241260077268</v>
      </c>
      <c r="D131">
        <f t="shared" si="33"/>
        <v>725.00000000000341</v>
      </c>
      <c r="E131" s="1">
        <v>-9.5512000000000003E-5</v>
      </c>
      <c r="F131" s="2">
        <f t="shared" ref="F131:F194" si="36">-8.686*2*3.1416*(E131)/((D131)*10^-7)</f>
        <v>71.898634373825871</v>
      </c>
      <c r="G131">
        <f t="shared" si="23"/>
        <v>690.60000000000468</v>
      </c>
      <c r="H131" s="1">
        <v>-5.486E-5</v>
      </c>
      <c r="I131" s="2">
        <f t="shared" ref="I131:I194" si="37">-8.686*2*3.1416*(H131)/((G131)*10^-7)</f>
        <v>43.354076360729508</v>
      </c>
      <c r="J131">
        <f t="shared" si="30"/>
        <v>786.60000000000377</v>
      </c>
      <c r="K131" s="1">
        <v>-1.16E-4</v>
      </c>
      <c r="L131" s="2">
        <f t="shared" ref="L131:L194" si="38">-8.686*2*3.1416*(K131)/((J131)*10^-7)</f>
        <v>80.483111151792144</v>
      </c>
    </row>
    <row r="132" spans="1:12">
      <c r="A132">
        <f t="shared" si="34"/>
        <v>674</v>
      </c>
      <c r="B132" s="1">
        <v>-3.3933000000000002E-5</v>
      </c>
      <c r="C132" s="2">
        <f t="shared" si="35"/>
        <v>27.476604943050447</v>
      </c>
      <c r="D132">
        <f t="shared" si="33"/>
        <v>725.20000000000346</v>
      </c>
      <c r="E132" s="1">
        <v>-9.5296000000000004E-5</v>
      </c>
      <c r="F132" s="2">
        <f t="shared" si="36"/>
        <v>71.716252110578822</v>
      </c>
      <c r="G132">
        <f t="shared" si="23"/>
        <v>690.80000000000473</v>
      </c>
      <c r="H132" s="1">
        <v>-5.4279E-5</v>
      </c>
      <c r="I132" s="2">
        <f t="shared" si="37"/>
        <v>42.882512014776779</v>
      </c>
      <c r="J132">
        <f t="shared" si="30"/>
        <v>786.80000000000382</v>
      </c>
      <c r="K132" s="1">
        <v>-1.1519E-4</v>
      </c>
      <c r="L132" s="2">
        <f t="shared" si="38"/>
        <v>79.900801528825241</v>
      </c>
    </row>
    <row r="133" spans="1:12">
      <c r="A133">
        <f t="shared" si="34"/>
        <v>675</v>
      </c>
      <c r="B133" s="1">
        <v>-3.2081E-5</v>
      </c>
      <c r="C133" s="2">
        <f t="shared" si="35"/>
        <v>25.938498552462221</v>
      </c>
      <c r="D133">
        <f t="shared" si="33"/>
        <v>725.4000000000035</v>
      </c>
      <c r="E133" s="1">
        <v>-9.5047E-5</v>
      </c>
      <c r="F133" s="2">
        <f t="shared" si="36"/>
        <v>71.509142681753161</v>
      </c>
      <c r="G133">
        <f>G132+0.2</f>
        <v>691.00000000000477</v>
      </c>
      <c r="H133" s="1">
        <v>-5.3699000000000002E-5</v>
      </c>
      <c r="I133" s="2">
        <f t="shared" si="37"/>
        <v>42.412010453904195</v>
      </c>
      <c r="J133">
        <f>J132+0.2</f>
        <v>787.00000000000387</v>
      </c>
      <c r="K133" s="1">
        <v>-1.1436E-4</v>
      </c>
      <c r="L133" s="2">
        <f t="shared" si="38"/>
        <v>79.304918524421467</v>
      </c>
    </row>
    <row r="134" spans="1:12">
      <c r="A134">
        <f t="shared" si="34"/>
        <v>676</v>
      </c>
      <c r="B134" s="1">
        <v>-3.0338E-5</v>
      </c>
      <c r="C134" s="2">
        <f t="shared" si="35"/>
        <v>24.49294233457988</v>
      </c>
      <c r="D134">
        <f t="shared" si="33"/>
        <v>725.60000000000355</v>
      </c>
      <c r="E134" s="1">
        <v>-9.4765999999999994E-5</v>
      </c>
      <c r="F134" s="2">
        <f t="shared" si="36"/>
        <v>71.278078682513438</v>
      </c>
      <c r="G134">
        <f t="shared" ref="G134:G140" si="39">G133+0.2</f>
        <v>691.20000000000482</v>
      </c>
      <c r="H134" s="1">
        <v>-5.312E-5</v>
      </c>
      <c r="I134" s="2">
        <f t="shared" si="37"/>
        <v>41.942570755555266</v>
      </c>
      <c r="J134">
        <f t="shared" ref="J134:J141" si="40">J133+0.2</f>
        <v>787.20000000000391</v>
      </c>
      <c r="K134" s="1">
        <v>-1.1353000000000001E-4</v>
      </c>
      <c r="L134" s="2">
        <f t="shared" si="38"/>
        <v>78.70933830609718</v>
      </c>
    </row>
    <row r="135" spans="1:12">
      <c r="A135">
        <f t="shared" si="34"/>
        <v>677</v>
      </c>
      <c r="B135" s="1">
        <v>-2.8705E-5</v>
      </c>
      <c r="C135" s="2">
        <f t="shared" si="35"/>
        <v>23.140332313382572</v>
      </c>
      <c r="D135">
        <f t="shared" si="33"/>
        <v>725.80000000000359</v>
      </c>
      <c r="E135" s="1">
        <v>-9.4452999999999998E-5</v>
      </c>
      <c r="F135" s="2">
        <f t="shared" si="36"/>
        <v>71.023079915480508</v>
      </c>
      <c r="G135">
        <f t="shared" si="39"/>
        <v>691.40000000000487</v>
      </c>
      <c r="H135" s="1">
        <v>-5.2540999999999997E-5</v>
      </c>
      <c r="I135" s="2">
        <f t="shared" si="37"/>
        <v>41.473402645113971</v>
      </c>
      <c r="J135">
        <f t="shared" si="40"/>
        <v>787.40000000000396</v>
      </c>
      <c r="K135" s="1">
        <v>-1.1268E-4</v>
      </c>
      <c r="L135" s="2">
        <f t="shared" si="38"/>
        <v>78.1001983431035</v>
      </c>
    </row>
    <row r="136" spans="1:12">
      <c r="A136">
        <f t="shared" si="34"/>
        <v>678</v>
      </c>
      <c r="B136" s="1">
        <v>-2.7178999999999998E-5</v>
      </c>
      <c r="C136" s="2">
        <f t="shared" si="35"/>
        <v>21.877842360778761</v>
      </c>
      <c r="D136">
        <f t="shared" si="33"/>
        <v>726.00000000000364</v>
      </c>
      <c r="E136" s="1">
        <v>-9.4110000000000005E-5</v>
      </c>
      <c r="F136" s="2">
        <f t="shared" si="36"/>
        <v>70.745669629090571</v>
      </c>
      <c r="G136">
        <f t="shared" si="39"/>
        <v>691.60000000000491</v>
      </c>
      <c r="H136" s="1">
        <v>-5.1965000000000001E-5</v>
      </c>
      <c r="I136" s="2">
        <f t="shared" si="37"/>
        <v>41.006873261538175</v>
      </c>
      <c r="J136">
        <f t="shared" si="40"/>
        <v>787.600000000004</v>
      </c>
      <c r="K136" s="1">
        <v>-1.1183000000000001E-4</v>
      </c>
      <c r="L136" s="2">
        <f t="shared" si="38"/>
        <v>77.491367745251011</v>
      </c>
    </row>
    <row r="137" spans="1:12">
      <c r="A137">
        <f t="shared" si="34"/>
        <v>679</v>
      </c>
      <c r="B137" s="1">
        <v>-2.5755999999999999E-5</v>
      </c>
      <c r="C137" s="2">
        <f t="shared" si="35"/>
        <v>20.701859229030926</v>
      </c>
      <c r="D137">
        <f t="shared" si="33"/>
        <v>726.20000000000368</v>
      </c>
      <c r="E137" s="1">
        <v>-9.3737000000000001E-5</v>
      </c>
      <c r="F137" s="2">
        <f t="shared" si="36"/>
        <v>70.445866340159384</v>
      </c>
      <c r="G137">
        <f t="shared" si="39"/>
        <v>691.80000000000496</v>
      </c>
      <c r="H137" s="1">
        <v>-5.1391000000000003E-5</v>
      </c>
      <c r="I137" s="2">
        <f t="shared" si="37"/>
        <v>40.542191419531378</v>
      </c>
      <c r="J137">
        <f t="shared" si="40"/>
        <v>787.80000000000405</v>
      </c>
      <c r="K137" s="1">
        <v>-1.1097E-4</v>
      </c>
      <c r="L137" s="2">
        <f t="shared" si="38"/>
        <v>76.875918646153451</v>
      </c>
    </row>
    <row r="138" spans="1:12">
      <c r="A138">
        <f t="shared" si="34"/>
        <v>680</v>
      </c>
      <c r="B138" s="1">
        <v>-2.4430000000000002E-5</v>
      </c>
      <c r="C138" s="2">
        <f t="shared" si="35"/>
        <v>19.607185751999999</v>
      </c>
      <c r="D138">
        <f t="shared" si="33"/>
        <v>726.40000000000373</v>
      </c>
      <c r="E138" s="1">
        <v>-9.3337000000000004E-5</v>
      </c>
      <c r="F138" s="2">
        <f t="shared" si="36"/>
        <v>70.125942504713294</v>
      </c>
      <c r="G138">
        <f t="shared" si="39"/>
        <v>692.000000000005</v>
      </c>
      <c r="H138" s="1">
        <v>-5.0819999999999998E-5</v>
      </c>
      <c r="I138" s="2">
        <f t="shared" si="37"/>
        <v>40.080144185895662</v>
      </c>
      <c r="J138">
        <f t="shared" si="40"/>
        <v>788.00000000000409</v>
      </c>
      <c r="K138" s="1">
        <v>-1.1011E-4</v>
      </c>
      <c r="L138" s="2">
        <f t="shared" si="38"/>
        <v>76.260781957766099</v>
      </c>
    </row>
    <row r="139" spans="1:12">
      <c r="A139">
        <f t="shared" si="34"/>
        <v>681</v>
      </c>
      <c r="B139" s="1">
        <v>-2.3195999999999999E-5</v>
      </c>
      <c r="C139" s="2">
        <f t="shared" si="35"/>
        <v>18.589456698079296</v>
      </c>
      <c r="D139">
        <f t="shared" si="33"/>
        <v>726.60000000000377</v>
      </c>
      <c r="E139" s="1">
        <v>-9.2909000000000001E-5</v>
      </c>
      <c r="F139" s="2">
        <f t="shared" si="36"/>
        <v>69.7851636245083</v>
      </c>
      <c r="G139">
        <f t="shared" si="39"/>
        <v>692.20000000000505</v>
      </c>
      <c r="H139" s="1">
        <v>-5.0250999999999997E-5</v>
      </c>
      <c r="I139" s="2">
        <f t="shared" si="37"/>
        <v>39.619940836104874</v>
      </c>
      <c r="J139">
        <f t="shared" si="40"/>
        <v>788.20000000000414</v>
      </c>
      <c r="K139" s="1">
        <v>-1.0924E-4</v>
      </c>
      <c r="L139" s="2">
        <f t="shared" si="38"/>
        <v>75.639033327175454</v>
      </c>
    </row>
    <row r="140" spans="1:12">
      <c r="A140">
        <f t="shared" si="34"/>
        <v>682</v>
      </c>
      <c r="B140" s="1">
        <v>-2.2048E-5</v>
      </c>
      <c r="C140" s="2">
        <f t="shared" si="35"/>
        <v>17.643532205419358</v>
      </c>
      <c r="D140">
        <f>D139+0.2</f>
        <v>726.80000000000382</v>
      </c>
      <c r="E140" s="1">
        <v>-9.2458000000000001E-5</v>
      </c>
      <c r="F140" s="2">
        <f t="shared" si="36"/>
        <v>69.427301448012841</v>
      </c>
      <c r="G140">
        <f t="shared" si="39"/>
        <v>692.40000000000509</v>
      </c>
      <c r="H140" s="1">
        <v>-4.9685000000000003E-5</v>
      </c>
      <c r="I140" s="2">
        <f t="shared" si="37"/>
        <v>39.162367985441648</v>
      </c>
      <c r="J140">
        <f t="shared" si="40"/>
        <v>788.40000000000418</v>
      </c>
      <c r="K140" s="1">
        <v>-1.0836999999999999E-4</v>
      </c>
      <c r="L140" s="2">
        <f t="shared" si="38"/>
        <v>75.017600144900655</v>
      </c>
    </row>
    <row r="141" spans="1:12">
      <c r="A141">
        <f t="shared" si="34"/>
        <v>683</v>
      </c>
      <c r="B141" s="1">
        <v>-2.0979999999999999E-5</v>
      </c>
      <c r="C141" s="2">
        <f t="shared" si="35"/>
        <v>16.764302513850662</v>
      </c>
      <c r="D141">
        <f t="shared" ref="D141:D146" si="41">D140+0.2</f>
        <v>727.00000000000387</v>
      </c>
      <c r="E141" s="1">
        <v>-9.1979999999999997E-5</v>
      </c>
      <c r="F141" s="2">
        <f t="shared" si="36"/>
        <v>69.049367275047771</v>
      </c>
      <c r="G141">
        <f>G140+0.2</f>
        <v>692.60000000000514</v>
      </c>
      <c r="H141" s="1">
        <v>-4.9122000000000002E-5</v>
      </c>
      <c r="I141" s="2">
        <f t="shared" si="37"/>
        <v>38.707423355102229</v>
      </c>
      <c r="J141">
        <f t="shared" si="40"/>
        <v>788.60000000000423</v>
      </c>
      <c r="K141" s="1">
        <v>-1.0749E-4</v>
      </c>
      <c r="L141" s="2">
        <f t="shared" si="38"/>
        <v>74.389561567942792</v>
      </c>
    </row>
    <row r="142" spans="1:12">
      <c r="A142">
        <f t="shared" si="34"/>
        <v>684</v>
      </c>
      <c r="B142" s="1">
        <v>-1.9987E-5</v>
      </c>
      <c r="C142" s="2">
        <f t="shared" si="35"/>
        <v>15.947485637754388</v>
      </c>
      <c r="D142">
        <f t="shared" si="41"/>
        <v>727.20000000000391</v>
      </c>
      <c r="E142" s="1">
        <v>-9.1477999999999994E-5</v>
      </c>
      <c r="F142" s="2">
        <f t="shared" si="36"/>
        <v>68.65362914666629</v>
      </c>
      <c r="G142">
        <f t="shared" ref="G142:G145" si="42">G141+0.2</f>
        <v>692.80000000000518</v>
      </c>
      <c r="H142" s="1">
        <v>-4.8563999999999998E-5</v>
      </c>
      <c r="I142" s="2">
        <f t="shared" si="37"/>
        <v>38.256680184941978</v>
      </c>
      <c r="J142">
        <f>J141+0.2</f>
        <v>788.80000000000427</v>
      </c>
      <c r="K142" s="1">
        <v>-1.0661E-4</v>
      </c>
      <c r="L142" s="2">
        <f t="shared" si="38"/>
        <v>73.761841468965116</v>
      </c>
    </row>
    <row r="143" spans="1:12">
      <c r="A143">
        <f t="shared" si="34"/>
        <v>685</v>
      </c>
      <c r="B143" s="1">
        <v>-1.9062000000000001E-5</v>
      </c>
      <c r="C143" s="2">
        <f t="shared" si="35"/>
        <v>15.187231139597081</v>
      </c>
      <c r="D143">
        <f t="shared" si="41"/>
        <v>727.40000000000396</v>
      </c>
      <c r="E143" s="1">
        <v>-9.0952999999999995E-5</v>
      </c>
      <c r="F143" s="2">
        <f t="shared" si="36"/>
        <v>68.240852035545402</v>
      </c>
      <c r="G143">
        <f t="shared" si="42"/>
        <v>693.00000000000523</v>
      </c>
      <c r="H143" s="1">
        <v>-4.8009000000000001E-5</v>
      </c>
      <c r="I143" s="2">
        <f t="shared" si="37"/>
        <v>37.808559775999719</v>
      </c>
      <c r="J143">
        <f t="shared" ref="J143:J152" si="43">J142+0.2</f>
        <v>789.00000000000432</v>
      </c>
      <c r="K143" s="1">
        <v>-1.0573000000000001E-4</v>
      </c>
      <c r="L143" s="2">
        <f t="shared" si="38"/>
        <v>73.134439605779079</v>
      </c>
    </row>
    <row r="144" spans="1:12">
      <c r="A144">
        <f t="shared" si="34"/>
        <v>686</v>
      </c>
      <c r="B144" s="1">
        <v>-1.8202E-5</v>
      </c>
      <c r="C144" s="2">
        <f t="shared" si="35"/>
        <v>14.480904961959181</v>
      </c>
      <c r="D144">
        <f t="shared" si="41"/>
        <v>727.600000000004</v>
      </c>
      <c r="E144" s="1">
        <v>-9.0408000000000006E-5</v>
      </c>
      <c r="F144" s="2">
        <f t="shared" si="36"/>
        <v>67.81330023476599</v>
      </c>
      <c r="G144">
        <f t="shared" si="42"/>
        <v>693.20000000000528</v>
      </c>
      <c r="H144" s="1">
        <v>-4.7457999999999999E-5</v>
      </c>
      <c r="I144" s="2">
        <f t="shared" si="37"/>
        <v>37.363847161592332</v>
      </c>
      <c r="J144">
        <f t="shared" si="43"/>
        <v>789.20000000000437</v>
      </c>
      <c r="K144" s="1">
        <v>-1.0485E-4</v>
      </c>
      <c r="L144" s="2">
        <f t="shared" si="38"/>
        <v>72.507355736441568</v>
      </c>
    </row>
    <row r="145" spans="1:12">
      <c r="A145">
        <f t="shared" si="34"/>
        <v>687</v>
      </c>
      <c r="B145" s="1">
        <v>-1.7401000000000002E-5</v>
      </c>
      <c r="C145" s="2">
        <f t="shared" si="35"/>
        <v>13.823505158008734</v>
      </c>
      <c r="D145">
        <f t="shared" si="41"/>
        <v>727.80000000000405</v>
      </c>
      <c r="E145" s="1">
        <v>-8.9841999999999998E-5</v>
      </c>
      <c r="F145" s="2">
        <f t="shared" si="36"/>
        <v>67.370236049991391</v>
      </c>
      <c r="G145">
        <f t="shared" si="42"/>
        <v>693.40000000000532</v>
      </c>
      <c r="H145" s="1">
        <v>-4.6912000000000001E-5</v>
      </c>
      <c r="I145" s="2">
        <f t="shared" si="37"/>
        <v>36.92332646931613</v>
      </c>
      <c r="J145">
        <f t="shared" si="43"/>
        <v>789.40000000000441</v>
      </c>
      <c r="K145" s="1">
        <v>-1.0397E-4</v>
      </c>
      <c r="L145" s="2">
        <f t="shared" si="38"/>
        <v>71.880589619254735</v>
      </c>
    </row>
    <row r="146" spans="1:12">
      <c r="A146">
        <f>A145+1</f>
        <v>688</v>
      </c>
      <c r="B146" s="1">
        <v>-1.6654999999999999E-5</v>
      </c>
      <c r="C146" s="2">
        <f t="shared" si="35"/>
        <v>13.211645369999999</v>
      </c>
      <c r="D146">
        <f t="shared" si="41"/>
        <v>728.00000000000409</v>
      </c>
      <c r="E146" s="1">
        <v>-8.9258000000000005E-5</v>
      </c>
      <c r="F146" s="2">
        <f t="shared" si="36"/>
        <v>66.913921271999641</v>
      </c>
      <c r="G146">
        <f>G145+0.2</f>
        <v>693.60000000000537</v>
      </c>
      <c r="H146" s="1">
        <v>-4.6369999999999998E-5</v>
      </c>
      <c r="I146" s="2">
        <f t="shared" si="37"/>
        <v>36.486207223529135</v>
      </c>
      <c r="J146">
        <f t="shared" si="43"/>
        <v>789.60000000000446</v>
      </c>
      <c r="K146" s="1">
        <v>-1.0308E-4</v>
      </c>
      <c r="L146" s="2">
        <f t="shared" si="38"/>
        <v>71.247229174467691</v>
      </c>
    </row>
    <row r="147" spans="1:12">
      <c r="A147">
        <f t="shared" si="34"/>
        <v>689</v>
      </c>
      <c r="B147" s="1">
        <v>-1.5959000000000001E-5</v>
      </c>
      <c r="C147" s="2">
        <f t="shared" si="35"/>
        <v>12.641166797050799</v>
      </c>
      <c r="D147">
        <f>D146+0.2</f>
        <v>728.20000000000414</v>
      </c>
      <c r="E147" s="1">
        <v>-8.8657000000000002E-5</v>
      </c>
      <c r="F147" s="2">
        <f t="shared" si="36"/>
        <v>66.445116281328936</v>
      </c>
      <c r="G147">
        <f t="shared" ref="G147:G154" si="44">G146+0.2</f>
        <v>693.80000000000541</v>
      </c>
      <c r="H147" s="1">
        <v>-4.5833E-5</v>
      </c>
      <c r="I147" s="2">
        <f t="shared" si="37"/>
        <v>36.053273105240429</v>
      </c>
      <c r="J147">
        <f t="shared" si="43"/>
        <v>789.8000000000045</v>
      </c>
      <c r="K147" s="1">
        <v>-1.022E-4</v>
      </c>
      <c r="L147" s="2">
        <f t="shared" si="38"/>
        <v>70.621099587743331</v>
      </c>
    </row>
    <row r="148" spans="1:12">
      <c r="A148">
        <f t="shared" si="34"/>
        <v>690</v>
      </c>
      <c r="B148" s="1">
        <v>-1.5308999999999999E-5</v>
      </c>
      <c r="C148" s="2">
        <f t="shared" si="35"/>
        <v>12.108725701982609</v>
      </c>
      <c r="D148">
        <f t="shared" ref="D148:D150" si="45">D147+0.2</f>
        <v>728.40000000000418</v>
      </c>
      <c r="E148" s="1">
        <v>-8.8039000000000002E-5</v>
      </c>
      <c r="F148" s="2">
        <f t="shared" si="36"/>
        <v>65.963831366457597</v>
      </c>
      <c r="G148">
        <f t="shared" si="44"/>
        <v>694.00000000000546</v>
      </c>
      <c r="H148" s="1">
        <v>-4.5300999999999999E-5</v>
      </c>
      <c r="I148" s="2">
        <f t="shared" si="37"/>
        <v>35.624520496184161</v>
      </c>
      <c r="J148">
        <f t="shared" si="43"/>
        <v>790.00000000000455</v>
      </c>
      <c r="K148" s="1">
        <v>-1.0132E-4</v>
      </c>
      <c r="L148" s="2">
        <f t="shared" si="38"/>
        <v>69.995287028657813</v>
      </c>
    </row>
    <row r="149" spans="1:12">
      <c r="A149">
        <f t="shared" si="34"/>
        <v>691</v>
      </c>
      <c r="B149" s="1">
        <v>-1.4701999999999999E-5</v>
      </c>
      <c r="C149" s="2">
        <f t="shared" si="35"/>
        <v>11.611787513609261</v>
      </c>
      <c r="D149">
        <f t="shared" si="45"/>
        <v>728.60000000000423</v>
      </c>
      <c r="E149" s="1">
        <v>-8.7405999999999996E-5</v>
      </c>
      <c r="F149" s="2">
        <f t="shared" si="36"/>
        <v>65.471574907098159</v>
      </c>
      <c r="G149">
        <f t="shared" si="44"/>
        <v>694.2000000000055</v>
      </c>
      <c r="H149" s="1">
        <v>-4.4774000000000002E-5</v>
      </c>
      <c r="I149" s="2">
        <f t="shared" si="37"/>
        <v>35.199945782264194</v>
      </c>
      <c r="J149">
        <f t="shared" si="43"/>
        <v>790.20000000000459</v>
      </c>
      <c r="K149" s="1">
        <v>-1.0043999999999999E-4</v>
      </c>
      <c r="L149" s="2">
        <f t="shared" si="38"/>
        <v>69.369791256491624</v>
      </c>
    </row>
    <row r="150" spans="1:12">
      <c r="A150">
        <f>A149+1</f>
        <v>692</v>
      </c>
      <c r="B150" s="1">
        <v>-1.4134999999999999E-5</v>
      </c>
      <c r="C150" s="2">
        <f t="shared" si="35"/>
        <v>11.147832311445086</v>
      </c>
      <c r="D150">
        <f t="shared" si="45"/>
        <v>728.80000000000427</v>
      </c>
      <c r="E150" s="1">
        <v>-8.6759000000000001E-5</v>
      </c>
      <c r="F150" s="2">
        <f t="shared" si="36"/>
        <v>64.969104781514432</v>
      </c>
      <c r="G150">
        <f t="shared" si="44"/>
        <v>694.40000000000555</v>
      </c>
      <c r="H150" s="1">
        <v>-4.4252000000000003E-5</v>
      </c>
      <c r="I150" s="2">
        <f t="shared" si="37"/>
        <v>34.779545353548109</v>
      </c>
      <c r="J150">
        <f t="shared" si="43"/>
        <v>790.40000000000464</v>
      </c>
      <c r="K150" s="1">
        <v>-9.9565E-5</v>
      </c>
      <c r="L150" s="2">
        <f t="shared" si="38"/>
        <v>68.748064452023883</v>
      </c>
    </row>
    <row r="151" spans="1:12">
      <c r="A151">
        <f t="shared" si="34"/>
        <v>693</v>
      </c>
      <c r="B151" s="1">
        <v>-1.3603E-5</v>
      </c>
      <c r="C151" s="2">
        <f t="shared" si="35"/>
        <v>10.712779658666669</v>
      </c>
      <c r="D151">
        <f>D150+0.2</f>
        <v>729.00000000000432</v>
      </c>
      <c r="E151" s="1">
        <v>-8.6099000000000004E-5</v>
      </c>
      <c r="F151" s="2">
        <f t="shared" si="36"/>
        <v>64.457178036279458</v>
      </c>
      <c r="G151">
        <f t="shared" si="44"/>
        <v>694.60000000000559</v>
      </c>
      <c r="H151" s="1">
        <v>-4.3736000000000003E-5</v>
      </c>
      <c r="I151" s="2">
        <f t="shared" si="37"/>
        <v>34.364101320863533</v>
      </c>
      <c r="J151">
        <f t="shared" si="43"/>
        <v>790.60000000000468</v>
      </c>
      <c r="K151" s="1">
        <v>-9.8690999999999994E-5</v>
      </c>
      <c r="L151" s="2">
        <f t="shared" si="38"/>
        <v>68.127342516609758</v>
      </c>
    </row>
    <row r="152" spans="1:12">
      <c r="A152">
        <f t="shared" si="34"/>
        <v>694</v>
      </c>
      <c r="B152" s="1">
        <v>-1.3104E-5</v>
      </c>
      <c r="C152" s="2">
        <f t="shared" si="35"/>
        <v>10.304931824507205</v>
      </c>
      <c r="D152">
        <f t="shared" ref="D152:D155" si="46">D151+0.2</f>
        <v>729.20000000000437</v>
      </c>
      <c r="E152" s="1">
        <v>-8.5426999999999994E-5</v>
      </c>
      <c r="F152" s="2">
        <f t="shared" si="36"/>
        <v>63.936550887415954</v>
      </c>
      <c r="G152">
        <f t="shared" si="44"/>
        <v>694.80000000000564</v>
      </c>
      <c r="H152" s="1">
        <v>-4.3225E-5</v>
      </c>
      <c r="I152" s="2">
        <f t="shared" si="37"/>
        <v>33.95282391364394</v>
      </c>
      <c r="J152">
        <f t="shared" si="43"/>
        <v>790.80000000000473</v>
      </c>
      <c r="K152" s="1">
        <v>-9.7819999999999995E-5</v>
      </c>
      <c r="L152" s="2">
        <f t="shared" si="38"/>
        <v>67.509004957814469</v>
      </c>
    </row>
    <row r="153" spans="1:12">
      <c r="A153">
        <f t="shared" si="34"/>
        <v>695</v>
      </c>
      <c r="B153" s="1">
        <v>-1.2636000000000001E-5</v>
      </c>
      <c r="C153" s="2">
        <f t="shared" si="35"/>
        <v>9.9226008493122304</v>
      </c>
      <c r="D153">
        <f t="shared" si="46"/>
        <v>729.40000000000441</v>
      </c>
      <c r="E153" s="1">
        <v>-8.4744E-5</v>
      </c>
      <c r="F153" s="2">
        <f t="shared" si="36"/>
        <v>63.40797872153513</v>
      </c>
      <c r="G153">
        <f t="shared" si="44"/>
        <v>695.00000000000568</v>
      </c>
      <c r="H153" s="1">
        <v>-4.2719999999999998E-5</v>
      </c>
      <c r="I153" s="2">
        <f t="shared" si="37"/>
        <v>33.546494799193965</v>
      </c>
      <c r="J153">
        <f>J152+0.2</f>
        <v>791.00000000000477</v>
      </c>
      <c r="K153" s="1">
        <v>-9.6953000000000005E-5</v>
      </c>
      <c r="L153" s="2">
        <f t="shared" si="38"/>
        <v>66.893739927504029</v>
      </c>
    </row>
    <row r="154" spans="1:12">
      <c r="A154">
        <f t="shared" si="34"/>
        <v>696</v>
      </c>
      <c r="B154" s="1">
        <v>-1.2196E-5</v>
      </c>
      <c r="C154" s="2">
        <f t="shared" si="35"/>
        <v>9.5633243382068969</v>
      </c>
      <c r="D154">
        <f t="shared" si="46"/>
        <v>729.60000000000446</v>
      </c>
      <c r="E154" s="1">
        <v>-8.4052000000000001E-5</v>
      </c>
      <c r="F154" s="2">
        <f t="shared" si="36"/>
        <v>62.872964121578569</v>
      </c>
      <c r="G154">
        <f t="shared" si="44"/>
        <v>695.20000000000573</v>
      </c>
      <c r="H154" s="1">
        <v>-4.2219999999999999E-5</v>
      </c>
      <c r="I154" s="2">
        <f t="shared" si="37"/>
        <v>33.144324668354159</v>
      </c>
      <c r="J154">
        <f t="shared" ref="J154:J163" si="47">J153+0.2</f>
        <v>791.20000000000482</v>
      </c>
      <c r="K154" s="1">
        <v>-9.6088999999999994E-5</v>
      </c>
      <c r="L154" s="2">
        <f t="shared" si="38"/>
        <v>66.280855309564814</v>
      </c>
    </row>
    <row r="155" spans="1:12">
      <c r="A155">
        <f>A154+1</f>
        <v>697</v>
      </c>
      <c r="B155" s="1">
        <v>-1.1782E-5</v>
      </c>
      <c r="C155" s="2">
        <f t="shared" si="35"/>
        <v>9.2254370388292681</v>
      </c>
      <c r="D155">
        <f t="shared" si="46"/>
        <v>729.8000000000045</v>
      </c>
      <c r="E155" s="1">
        <v>-8.3350999999999995E-5</v>
      </c>
      <c r="F155" s="2">
        <f t="shared" si="36"/>
        <v>62.331512384148695</v>
      </c>
      <c r="G155">
        <f>G154+0.2</f>
        <v>695.40000000000578</v>
      </c>
      <c r="H155" s="1">
        <v>-4.1724999999999998E-5</v>
      </c>
      <c r="I155" s="2">
        <f t="shared" si="37"/>
        <v>32.746309932700328</v>
      </c>
      <c r="J155">
        <f t="shared" si="47"/>
        <v>791.40000000000487</v>
      </c>
      <c r="K155" s="1">
        <v>-9.5229999999999995E-5</v>
      </c>
      <c r="L155" s="2">
        <f t="shared" si="38"/>
        <v>65.671728522819919</v>
      </c>
    </row>
    <row r="156" spans="1:12">
      <c r="A156">
        <f t="shared" si="34"/>
        <v>698</v>
      </c>
      <c r="B156" s="1">
        <v>-1.1392999999999999E-5</v>
      </c>
      <c r="C156" s="2">
        <f t="shared" si="35"/>
        <v>8.9080651311403987</v>
      </c>
      <c r="D156">
        <f>D155+0.2</f>
        <v>730.00000000000455</v>
      </c>
      <c r="E156" s="1">
        <v>-8.2640999999999997E-5</v>
      </c>
      <c r="F156" s="2">
        <f t="shared" si="36"/>
        <v>61.783628800043452</v>
      </c>
      <c r="G156">
        <f t="shared" ref="G156:G161" si="48">G155+0.2</f>
        <v>695.60000000000582</v>
      </c>
      <c r="H156" s="1">
        <v>-4.1236000000000003E-5</v>
      </c>
      <c r="I156" s="2">
        <f t="shared" si="37"/>
        <v>32.35323159498536</v>
      </c>
      <c r="J156">
        <f t="shared" si="47"/>
        <v>791.60000000000491</v>
      </c>
      <c r="K156" s="1">
        <v>-9.4375000000000004E-5</v>
      </c>
      <c r="L156" s="2">
        <f t="shared" si="38"/>
        <v>65.065667281454893</v>
      </c>
    </row>
    <row r="157" spans="1:12">
      <c r="A157">
        <f>A156+1</f>
        <v>699</v>
      </c>
      <c r="B157" s="1">
        <v>-1.1026000000000001E-5</v>
      </c>
      <c r="C157" s="2">
        <f t="shared" si="35"/>
        <v>8.608778254008584</v>
      </c>
      <c r="D157">
        <v>731</v>
      </c>
      <c r="E157" s="1">
        <v>-7.9010000000000004E-5</v>
      </c>
      <c r="F157" s="2">
        <f t="shared" si="36"/>
        <v>58.988233919999999</v>
      </c>
      <c r="G157">
        <f t="shared" si="48"/>
        <v>695.80000000000587</v>
      </c>
      <c r="H157" s="1">
        <v>-4.0754000000000003E-5</v>
      </c>
      <c r="I157" s="2">
        <f t="shared" si="37"/>
        <v>31.965869759999741</v>
      </c>
      <c r="J157">
        <f t="shared" si="47"/>
        <v>791.80000000000496</v>
      </c>
      <c r="K157" s="1">
        <v>-9.3524999999999996E-5</v>
      </c>
      <c r="L157" s="2">
        <f t="shared" si="38"/>
        <v>64.463358525889973</v>
      </c>
    </row>
    <row r="158" spans="1:12">
      <c r="A158">
        <v>700</v>
      </c>
      <c r="B158" s="1">
        <v>-1.0679999999999999E-5</v>
      </c>
      <c r="C158" s="2">
        <f t="shared" si="35"/>
        <v>8.3267192447999996</v>
      </c>
      <c r="D158">
        <f>D157+1</f>
        <v>732</v>
      </c>
      <c r="E158" s="1">
        <v>-7.5309999999999996E-5</v>
      </c>
      <c r="F158" s="2">
        <f t="shared" si="36"/>
        <v>56.149032258360663</v>
      </c>
      <c r="G158">
        <f t="shared" si="48"/>
        <v>696.00000000000591</v>
      </c>
      <c r="H158" s="1">
        <v>-4.0275999999999999E-5</v>
      </c>
      <c r="I158" s="2">
        <f t="shared" si="37"/>
        <v>31.581867091310077</v>
      </c>
      <c r="J158">
        <f t="shared" si="47"/>
        <v>792.000000000005</v>
      </c>
      <c r="K158" s="1">
        <v>-9.268E-5</v>
      </c>
      <c r="L158" s="2">
        <f t="shared" si="38"/>
        <v>63.864799413332932</v>
      </c>
    </row>
    <row r="159" spans="1:12">
      <c r="A159">
        <f>A158+5</f>
        <v>705</v>
      </c>
      <c r="B159" s="1">
        <v>-9.2428999999999992E-6</v>
      </c>
      <c r="C159" s="2">
        <f t="shared" si="35"/>
        <v>7.1551681827812761</v>
      </c>
      <c r="D159">
        <f t="shared" ref="D159:D185" si="49">D158+1</f>
        <v>733</v>
      </c>
      <c r="E159" s="1">
        <v>-7.1620999999999997E-5</v>
      </c>
      <c r="F159" s="2">
        <f t="shared" si="36"/>
        <v>53.325767499306963</v>
      </c>
      <c r="G159">
        <f t="shared" si="48"/>
        <v>696.20000000000596</v>
      </c>
      <c r="H159" s="1">
        <v>-3.9805000000000003E-5</v>
      </c>
      <c r="I159" s="2">
        <f t="shared" si="37"/>
        <v>31.203572426543829</v>
      </c>
      <c r="J159">
        <f t="shared" si="47"/>
        <v>792.20000000000505</v>
      </c>
      <c r="K159" s="1">
        <v>-9.1844999999999999E-5</v>
      </c>
      <c r="L159" s="2">
        <f t="shared" si="38"/>
        <v>63.273431680686286</v>
      </c>
    </row>
    <row r="160" spans="1:12">
      <c r="A160">
        <f t="shared" ref="A160:A196" si="50">A159+5</f>
        <v>710</v>
      </c>
      <c r="B160" s="1">
        <v>-8.3080999999999993E-6</v>
      </c>
      <c r="C160" s="2">
        <f t="shared" si="35"/>
        <v>6.3862229401284507</v>
      </c>
      <c r="D160">
        <f t="shared" si="49"/>
        <v>734</v>
      </c>
      <c r="E160" s="1">
        <v>-6.8003000000000006E-5</v>
      </c>
      <c r="F160" s="2">
        <f t="shared" si="36"/>
        <v>50.562986937678481</v>
      </c>
      <c r="G160">
        <f t="shared" si="48"/>
        <v>696.400000000006</v>
      </c>
      <c r="H160" s="1">
        <v>-3.9339999999999999E-5</v>
      </c>
      <c r="I160" s="2">
        <f t="shared" si="37"/>
        <v>30.830197162090489</v>
      </c>
      <c r="J160">
        <f t="shared" si="47"/>
        <v>792.40000000000509</v>
      </c>
      <c r="K160" s="1">
        <v>-9.1011E-5</v>
      </c>
      <c r="L160" s="2">
        <f t="shared" si="38"/>
        <v>62.683051209328219</v>
      </c>
    </row>
    <row r="161" spans="1:12">
      <c r="A161">
        <f t="shared" si="50"/>
        <v>715</v>
      </c>
      <c r="B161" s="1">
        <v>-7.5699000000000001E-6</v>
      </c>
      <c r="C161" s="2">
        <f t="shared" si="35"/>
        <v>5.7780967507199996</v>
      </c>
      <c r="D161">
        <f t="shared" si="49"/>
        <v>735</v>
      </c>
      <c r="E161" s="1">
        <v>-6.4500999999999998E-5</v>
      </c>
      <c r="F161" s="2">
        <f t="shared" si="36"/>
        <v>47.893857500342854</v>
      </c>
      <c r="G161">
        <f t="shared" si="48"/>
        <v>696.60000000000605</v>
      </c>
      <c r="H161" s="1">
        <v>-3.888E-5</v>
      </c>
      <c r="I161" s="2">
        <f t="shared" si="37"/>
        <v>30.460953599999737</v>
      </c>
      <c r="J161">
        <f t="shared" si="47"/>
        <v>792.60000000000514</v>
      </c>
      <c r="K161" s="1">
        <v>-9.0183E-5</v>
      </c>
      <c r="L161" s="2">
        <f t="shared" si="38"/>
        <v>62.097100090355383</v>
      </c>
    </row>
    <row r="162" spans="1:12">
      <c r="A162">
        <f t="shared" si="50"/>
        <v>720</v>
      </c>
      <c r="B162" s="1">
        <v>-6.9856999999999999E-6</v>
      </c>
      <c r="C162" s="2">
        <f t="shared" si="35"/>
        <v>5.2951484914533333</v>
      </c>
      <c r="D162">
        <f t="shared" si="49"/>
        <v>736</v>
      </c>
      <c r="E162" s="1">
        <v>-6.1143999999999996E-5</v>
      </c>
      <c r="F162" s="2">
        <f t="shared" si="36"/>
        <v>45.339501538434781</v>
      </c>
      <c r="G162">
        <f>G161+0.2</f>
        <v>696.80000000000609</v>
      </c>
      <c r="H162" s="1">
        <v>-3.8426000000000001E-5</v>
      </c>
      <c r="I162" s="2">
        <f t="shared" si="37"/>
        <v>30.096621418415353</v>
      </c>
      <c r="J162">
        <f t="shared" si="47"/>
        <v>792.80000000000518</v>
      </c>
      <c r="K162" s="1">
        <v>-8.9361E-5</v>
      </c>
      <c r="L162" s="2">
        <f t="shared" si="38"/>
        <v>61.51557497158386</v>
      </c>
    </row>
    <row r="163" spans="1:12">
      <c r="A163">
        <f t="shared" si="50"/>
        <v>725</v>
      </c>
      <c r="B163" s="1">
        <v>-6.5195E-6</v>
      </c>
      <c r="C163" s="2">
        <f t="shared" si="35"/>
        <v>4.9076885291917236</v>
      </c>
      <c r="D163">
        <f t="shared" si="49"/>
        <v>737</v>
      </c>
      <c r="E163" s="1">
        <v>-5.7951000000000001E-5</v>
      </c>
      <c r="F163" s="2">
        <f t="shared" si="36"/>
        <v>42.913521624358204</v>
      </c>
      <c r="G163">
        <f t="shared" ref="G163:G168" si="51">G162+0.2</f>
        <v>697.00000000000614</v>
      </c>
      <c r="H163" s="1">
        <v>-3.7978000000000001E-5</v>
      </c>
      <c r="I163" s="2">
        <f t="shared" si="37"/>
        <v>29.737196389463151</v>
      </c>
      <c r="J163">
        <f t="shared" si="47"/>
        <v>793.00000000000523</v>
      </c>
      <c r="K163" s="1">
        <v>-8.8545E-5</v>
      </c>
      <c r="L163" s="2">
        <f t="shared" si="38"/>
        <v>60.938472504211454</v>
      </c>
    </row>
    <row r="164" spans="1:12">
      <c r="A164">
        <f t="shared" si="50"/>
        <v>730</v>
      </c>
      <c r="B164" s="1">
        <v>-6.1342999999999999E-6</v>
      </c>
      <c r="C164" s="2">
        <f t="shared" si="35"/>
        <v>4.5860930306761638</v>
      </c>
      <c r="D164">
        <f t="shared" si="49"/>
        <v>738</v>
      </c>
      <c r="E164" s="1">
        <v>-5.4932999999999997E-5</v>
      </c>
      <c r="F164" s="2">
        <f t="shared" si="36"/>
        <v>40.623530519804881</v>
      </c>
      <c r="G164">
        <f t="shared" si="51"/>
        <v>697.20000000000618</v>
      </c>
      <c r="H164" s="1">
        <v>-3.7536000000000001E-5</v>
      </c>
      <c r="I164" s="2">
        <f t="shared" si="37"/>
        <v>29.382674290120224</v>
      </c>
      <c r="J164">
        <f>J163+0.2</f>
        <v>793.20000000000528</v>
      </c>
      <c r="K164" s="1">
        <v>-8.7736000000000002E-5</v>
      </c>
      <c r="L164" s="2">
        <f t="shared" si="38"/>
        <v>60.366477389651642</v>
      </c>
    </row>
    <row r="165" spans="1:12">
      <c r="A165">
        <f t="shared" si="50"/>
        <v>735</v>
      </c>
      <c r="B165" s="1">
        <v>-5.8140999999999999E-6</v>
      </c>
      <c r="C165" s="2">
        <f t="shared" si="35"/>
        <v>4.3171373605485712</v>
      </c>
      <c r="D165">
        <f t="shared" si="49"/>
        <v>739</v>
      </c>
      <c r="E165" s="1">
        <v>-5.2092999999999997E-5</v>
      </c>
      <c r="F165" s="2">
        <f t="shared" si="36"/>
        <v>38.471191702213808</v>
      </c>
      <c r="G165">
        <f t="shared" si="51"/>
        <v>697.40000000000623</v>
      </c>
      <c r="H165" s="1">
        <v>-3.7098000000000003E-5</v>
      </c>
      <c r="I165" s="2">
        <f t="shared" si="37"/>
        <v>29.03148577817009</v>
      </c>
      <c r="J165">
        <f t="shared" ref="J165:J178" si="52">J164+0.2</f>
        <v>793.40000000000532</v>
      </c>
      <c r="K165" s="1">
        <v>-8.6934000000000005E-5</v>
      </c>
      <c r="L165" s="2">
        <f t="shared" si="38"/>
        <v>59.799585765525194</v>
      </c>
    </row>
    <row r="166" spans="1:12">
      <c r="A166">
        <f t="shared" si="50"/>
        <v>740</v>
      </c>
      <c r="B166" s="1">
        <v>-5.5550000000000002E-6</v>
      </c>
      <c r="C166" s="2">
        <f t="shared" si="35"/>
        <v>4.0968781991351353</v>
      </c>
      <c r="D166">
        <f t="shared" si="49"/>
        <v>740</v>
      </c>
      <c r="E166" s="1">
        <v>-4.9431000000000002E-5</v>
      </c>
      <c r="F166" s="2">
        <f t="shared" si="36"/>
        <v>36.455947121772972</v>
      </c>
      <c r="G166">
        <f t="shared" si="51"/>
        <v>697.60000000000628</v>
      </c>
      <c r="H166" s="1">
        <v>-3.6668000000000002E-5</v>
      </c>
      <c r="I166" s="2">
        <f t="shared" si="37"/>
        <v>28.686757337063963</v>
      </c>
      <c r="J166">
        <f t="shared" si="52"/>
        <v>793.60000000000537</v>
      </c>
      <c r="K166" s="1">
        <v>-8.6137999999999994E-5</v>
      </c>
      <c r="L166" s="2">
        <f t="shared" si="38"/>
        <v>59.237106073306052</v>
      </c>
    </row>
    <row r="167" spans="1:12">
      <c r="A167">
        <f t="shared" si="50"/>
        <v>745</v>
      </c>
      <c r="B167" s="1">
        <v>-5.3449000000000003E-6</v>
      </c>
      <c r="C167" s="2">
        <f t="shared" si="35"/>
        <v>3.9154710786104703</v>
      </c>
      <c r="D167">
        <f t="shared" si="49"/>
        <v>741</v>
      </c>
      <c r="E167" s="1">
        <v>-4.6940000000000001E-5</v>
      </c>
      <c r="F167" s="2">
        <f t="shared" si="36"/>
        <v>34.572086125344129</v>
      </c>
      <c r="G167">
        <f t="shared" si="51"/>
        <v>697.80000000000632</v>
      </c>
      <c r="H167" s="1">
        <v>-3.6242999999999998E-5</v>
      </c>
      <c r="I167" s="2">
        <f t="shared" si="37"/>
        <v>28.34613707184841</v>
      </c>
      <c r="J167">
        <f t="shared" si="52"/>
        <v>793.80000000000541</v>
      </c>
      <c r="K167" s="1">
        <v>-8.5348999999999999E-5</v>
      </c>
      <c r="L167" s="2">
        <f t="shared" si="38"/>
        <v>58.679722504973149</v>
      </c>
    </row>
    <row r="168" spans="1:12">
      <c r="A168">
        <f t="shared" si="50"/>
        <v>750</v>
      </c>
      <c r="B168" s="1">
        <v>-5.1633000000000002E-6</v>
      </c>
      <c r="C168" s="2">
        <f t="shared" si="35"/>
        <v>3.7572215522688004</v>
      </c>
      <c r="D168">
        <f t="shared" si="49"/>
        <v>742</v>
      </c>
      <c r="E168" s="1">
        <v>-4.4613999999999997E-5</v>
      </c>
      <c r="F168" s="2">
        <f t="shared" si="36"/>
        <v>32.814664368905653</v>
      </c>
      <c r="G168">
        <f t="shared" si="51"/>
        <v>698.00000000000637</v>
      </c>
      <c r="H168" s="1">
        <v>-3.5824999999999997E-5</v>
      </c>
      <c r="I168" s="2">
        <f t="shared" si="37"/>
        <v>28.011185229799167</v>
      </c>
      <c r="J168">
        <f t="shared" si="52"/>
        <v>794.00000000000546</v>
      </c>
      <c r="K168" s="1">
        <v>-8.4567000000000005E-5</v>
      </c>
      <c r="L168" s="2">
        <f t="shared" si="38"/>
        <v>58.127431209551233</v>
      </c>
    </row>
    <row r="169" spans="1:12">
      <c r="A169">
        <f t="shared" si="50"/>
        <v>755</v>
      </c>
      <c r="B169" s="1">
        <v>-5.0050000000000004E-6</v>
      </c>
      <c r="C169" s="2">
        <f t="shared" si="35"/>
        <v>3.6179106672317887</v>
      </c>
      <c r="D169">
        <f>D168+1</f>
        <v>743</v>
      </c>
      <c r="E169" s="1">
        <v>-4.2444999999999998E-5</v>
      </c>
      <c r="F169" s="2">
        <f t="shared" si="36"/>
        <v>31.17729505873486</v>
      </c>
      <c r="G169">
        <f>G168+0.2</f>
        <v>698.20000000000641</v>
      </c>
      <c r="H169" s="1">
        <v>-3.5410999999999997E-5</v>
      </c>
      <c r="I169" s="2">
        <f t="shared" si="37"/>
        <v>27.679551943672042</v>
      </c>
      <c r="J169">
        <f t="shared" si="52"/>
        <v>794.2000000000055</v>
      </c>
      <c r="K169" s="1">
        <v>-8.3792E-5</v>
      </c>
      <c r="L169" s="2">
        <f t="shared" si="38"/>
        <v>57.580228339944199</v>
      </c>
    </row>
    <row r="170" spans="1:12">
      <c r="A170">
        <f t="shared" si="50"/>
        <v>760</v>
      </c>
      <c r="B170" s="1">
        <v>-4.8986E-6</v>
      </c>
      <c r="C170" s="2">
        <f t="shared" si="35"/>
        <v>3.5177023980884217</v>
      </c>
      <c r="D170">
        <f t="shared" si="49"/>
        <v>744</v>
      </c>
      <c r="E170" s="1">
        <v>-4.0423000000000002E-5</v>
      </c>
      <c r="F170" s="2">
        <f t="shared" si="36"/>
        <v>29.652158645290328</v>
      </c>
      <c r="G170">
        <f t="shared" ref="G170:G177" si="53">G169+0.2</f>
        <v>698.40000000000646</v>
      </c>
      <c r="H170" s="1">
        <v>-3.5003999999999999E-5</v>
      </c>
      <c r="I170" s="2">
        <f t="shared" si="37"/>
        <v>27.353578687010053</v>
      </c>
      <c r="J170">
        <f t="shared" si="52"/>
        <v>794.40000000000555</v>
      </c>
      <c r="K170" s="1">
        <v>-8.3024999999999999E-5</v>
      </c>
      <c r="L170" s="2">
        <f t="shared" si="38"/>
        <v>57.03879706042256</v>
      </c>
    </row>
    <row r="171" spans="1:12">
      <c r="A171">
        <f t="shared" si="50"/>
        <v>765</v>
      </c>
      <c r="B171" s="1">
        <v>-4.8254000000000004E-6</v>
      </c>
      <c r="C171" s="2">
        <f t="shared" si="35"/>
        <v>3.4424892573866663</v>
      </c>
      <c r="D171">
        <f t="shared" si="49"/>
        <v>745</v>
      </c>
      <c r="E171" s="1">
        <v>-3.8541000000000003E-5</v>
      </c>
      <c r="F171" s="2">
        <f t="shared" si="36"/>
        <v>28.233675249438928</v>
      </c>
      <c r="G171">
        <f t="shared" si="53"/>
        <v>698.6000000000065</v>
      </c>
      <c r="H171" s="1">
        <v>-3.4603000000000001E-5</v>
      </c>
      <c r="I171" s="2">
        <f t="shared" si="37"/>
        <v>27.03247938084143</v>
      </c>
      <c r="J171">
        <f t="shared" si="52"/>
        <v>794.60000000000559</v>
      </c>
      <c r="K171" s="1">
        <v>-8.2263999999999997E-5</v>
      </c>
      <c r="L171" s="2">
        <f t="shared" si="38"/>
        <v>56.501759343729788</v>
      </c>
    </row>
    <row r="172" spans="1:12">
      <c r="A172">
        <f t="shared" si="50"/>
        <v>770</v>
      </c>
      <c r="B172" s="1">
        <v>-4.7688E-6</v>
      </c>
      <c r="C172" s="2">
        <f t="shared" si="35"/>
        <v>3.3800186188799999</v>
      </c>
      <c r="D172">
        <f t="shared" si="49"/>
        <v>746</v>
      </c>
      <c r="E172" s="1">
        <v>-3.6789000000000003E-5</v>
      </c>
      <c r="F172" s="2">
        <f t="shared" si="36"/>
        <v>26.914100170680967</v>
      </c>
      <c r="G172">
        <f t="shared" si="53"/>
        <v>698.80000000000655</v>
      </c>
      <c r="H172" s="1">
        <v>-3.4207E-5</v>
      </c>
      <c r="I172" s="2">
        <f t="shared" si="37"/>
        <v>26.715468846113087</v>
      </c>
      <c r="J172">
        <f t="shared" si="52"/>
        <v>794.80000000000564</v>
      </c>
      <c r="K172" s="1">
        <v>-8.1512000000000002E-5</v>
      </c>
      <c r="L172" s="2">
        <f t="shared" si="38"/>
        <v>55.971171858358943</v>
      </c>
    </row>
    <row r="173" spans="1:12">
      <c r="A173">
        <f t="shared" si="50"/>
        <v>775</v>
      </c>
      <c r="B173" s="1">
        <v>-4.7145000000000003E-6</v>
      </c>
      <c r="C173" s="2">
        <f t="shared" si="35"/>
        <v>3.3199737242632259</v>
      </c>
      <c r="D173">
        <f t="shared" si="49"/>
        <v>747</v>
      </c>
      <c r="E173" s="1">
        <v>-3.5154999999999998E-5</v>
      </c>
      <c r="F173" s="2">
        <f t="shared" si="36"/>
        <v>25.684268977991966</v>
      </c>
      <c r="G173">
        <f t="shared" si="53"/>
        <v>699.00000000000659</v>
      </c>
      <c r="H173" s="1">
        <v>-3.3816000000000003E-5</v>
      </c>
      <c r="I173" s="2">
        <f t="shared" si="37"/>
        <v>26.40254357314997</v>
      </c>
      <c r="J173">
        <f t="shared" si="52"/>
        <v>795.00000000000568</v>
      </c>
      <c r="K173" s="1">
        <v>-8.0766000000000006E-5</v>
      </c>
      <c r="L173" s="2">
        <f t="shared" si="38"/>
        <v>55.444970269222246</v>
      </c>
    </row>
    <row r="174" spans="1:12">
      <c r="A174">
        <f t="shared" si="50"/>
        <v>780</v>
      </c>
      <c r="B174" s="1">
        <v>-4.6667999999999999E-6</v>
      </c>
      <c r="C174" s="2">
        <f t="shared" si="35"/>
        <v>3.2653165946584615</v>
      </c>
      <c r="D174">
        <f t="shared" si="49"/>
        <v>748</v>
      </c>
      <c r="E174" s="1">
        <v>-3.3631999999999999E-5</v>
      </c>
      <c r="F174" s="2">
        <f t="shared" si="36"/>
        <v>24.538714367999997</v>
      </c>
      <c r="G174">
        <f t="shared" si="53"/>
        <v>699.20000000000664</v>
      </c>
      <c r="H174" s="1">
        <v>-3.3430999999999999E-5</v>
      </c>
      <c r="I174" s="2">
        <f t="shared" si="37"/>
        <v>26.094480603706845</v>
      </c>
      <c r="J174">
        <f t="shared" si="52"/>
        <v>795.20000000000573</v>
      </c>
      <c r="K174" s="1">
        <v>-8.0028E-5</v>
      </c>
      <c r="L174" s="2">
        <f t="shared" si="38"/>
        <v>54.924523899717911</v>
      </c>
    </row>
    <row r="175" spans="1:12">
      <c r="A175">
        <f t="shared" si="50"/>
        <v>785</v>
      </c>
      <c r="B175" s="1">
        <v>-4.6363E-6</v>
      </c>
      <c r="C175" s="2">
        <f t="shared" si="35"/>
        <v>3.2233137603791078</v>
      </c>
      <c r="D175">
        <f>D174+1</f>
        <v>749</v>
      </c>
      <c r="E175" s="1">
        <v>-3.2211E-5</v>
      </c>
      <c r="F175" s="2">
        <f t="shared" si="36"/>
        <v>23.470540935476638</v>
      </c>
      <c r="G175">
        <f t="shared" si="53"/>
        <v>699.40000000000668</v>
      </c>
      <c r="H175" s="1">
        <v>-3.3052000000000001E-5</v>
      </c>
      <c r="I175" s="2">
        <f t="shared" si="37"/>
        <v>25.791275766519629</v>
      </c>
      <c r="J175">
        <f t="shared" si="52"/>
        <v>795.40000000000578</v>
      </c>
      <c r="K175" s="1">
        <v>-7.9297999999999999E-5</v>
      </c>
      <c r="L175" s="2">
        <f t="shared" si="38"/>
        <v>54.4098284084683</v>
      </c>
    </row>
    <row r="176" spans="1:12">
      <c r="A176">
        <f t="shared" si="50"/>
        <v>790</v>
      </c>
      <c r="B176" s="1">
        <v>-4.6256000000000002E-6</v>
      </c>
      <c r="C176" s="2">
        <f t="shared" si="35"/>
        <v>3.1955211180394936</v>
      </c>
      <c r="D176">
        <f t="shared" si="49"/>
        <v>750</v>
      </c>
      <c r="E176" s="1">
        <v>-3.0883000000000002E-5</v>
      </c>
      <c r="F176" s="2">
        <f t="shared" si="36"/>
        <v>22.472890050688004</v>
      </c>
      <c r="G176">
        <f t="shared" si="53"/>
        <v>699.60000000000673</v>
      </c>
      <c r="H176" s="1">
        <v>-3.2678000000000001E-5</v>
      </c>
      <c r="I176" s="2">
        <f t="shared" si="37"/>
        <v>25.492144793962019</v>
      </c>
      <c r="J176">
        <f t="shared" si="52"/>
        <v>795.60000000000582</v>
      </c>
      <c r="K176" s="1">
        <v>-7.8574999999999999E-5</v>
      </c>
      <c r="L176" s="2">
        <f t="shared" si="38"/>
        <v>53.900193487179095</v>
      </c>
    </row>
    <row r="177" spans="1:12">
      <c r="A177">
        <f t="shared" si="50"/>
        <v>795</v>
      </c>
      <c r="B177" s="1">
        <v>-4.6295999999999997E-6</v>
      </c>
      <c r="C177" s="2">
        <f t="shared" si="35"/>
        <v>3.1781694569298109</v>
      </c>
      <c r="D177">
        <f t="shared" si="49"/>
        <v>751</v>
      </c>
      <c r="E177" s="1">
        <v>-2.9640000000000001E-5</v>
      </c>
      <c r="F177" s="2">
        <f t="shared" si="36"/>
        <v>21.539666323941415</v>
      </c>
      <c r="G177">
        <f t="shared" si="53"/>
        <v>699.80000000000678</v>
      </c>
      <c r="H177" s="1">
        <v>-3.2310000000000001E-5</v>
      </c>
      <c r="I177" s="2">
        <f t="shared" si="37"/>
        <v>25.197864071334426</v>
      </c>
      <c r="J177">
        <f t="shared" si="52"/>
        <v>795.80000000000587</v>
      </c>
      <c r="K177" s="1">
        <v>-7.7859000000000001E-5</v>
      </c>
      <c r="L177" s="2">
        <f t="shared" si="38"/>
        <v>53.39561532039167</v>
      </c>
    </row>
    <row r="178" spans="1:12">
      <c r="A178">
        <f t="shared" si="50"/>
        <v>800</v>
      </c>
      <c r="B178" s="1">
        <v>-4.6330000000000004E-6</v>
      </c>
      <c r="C178" s="2">
        <f t="shared" si="35"/>
        <v>3.1606253725200006</v>
      </c>
      <c r="D178">
        <f t="shared" si="49"/>
        <v>752</v>
      </c>
      <c r="E178" s="1">
        <v>-2.8476999999999999E-5</v>
      </c>
      <c r="F178" s="2">
        <f t="shared" si="36"/>
        <v>20.666984016893618</v>
      </c>
      <c r="G178">
        <f>G177+0.2</f>
        <v>700.00000000000682</v>
      </c>
      <c r="H178" s="1">
        <v>-3.1946999999999998E-5</v>
      </c>
      <c r="I178" s="2">
        <f t="shared" si="37"/>
        <v>24.907649785919752</v>
      </c>
      <c r="J178">
        <f t="shared" si="52"/>
        <v>796.00000000000591</v>
      </c>
      <c r="K178" s="1">
        <v>-7.7150999999999994E-5</v>
      </c>
      <c r="L178" s="2">
        <f t="shared" si="38"/>
        <v>52.896775723054873</v>
      </c>
    </row>
    <row r="179" spans="1:12">
      <c r="A179">
        <f>A178+5</f>
        <v>805</v>
      </c>
      <c r="B179" s="1">
        <v>-4.6280999999999998E-6</v>
      </c>
      <c r="C179" s="2">
        <f t="shared" si="35"/>
        <v>3.1376721492313044</v>
      </c>
      <c r="D179">
        <f t="shared" si="49"/>
        <v>753</v>
      </c>
      <c r="E179" s="1">
        <v>-2.7387000000000001E-5</v>
      </c>
      <c r="F179" s="2">
        <f t="shared" si="36"/>
        <v>19.849528474135457</v>
      </c>
      <c r="G179">
        <v>701</v>
      </c>
      <c r="H179" s="1">
        <v>-3.021E-5</v>
      </c>
      <c r="I179" s="2">
        <f t="shared" si="37"/>
        <v>23.519788727417975</v>
      </c>
      <c r="J179">
        <f>J178+0.2</f>
        <v>796.20000000000596</v>
      </c>
      <c r="K179" s="1">
        <v>-7.6451000000000004E-5</v>
      </c>
      <c r="L179" s="2">
        <f t="shared" si="38"/>
        <v>52.403670370700439</v>
      </c>
    </row>
    <row r="180" spans="1:12">
      <c r="A180">
        <f t="shared" si="50"/>
        <v>810</v>
      </c>
      <c r="B180" s="1">
        <v>-4.6275000000000002E-6</v>
      </c>
      <c r="C180" s="2">
        <f t="shared" si="35"/>
        <v>3.1178995368888893</v>
      </c>
      <c r="D180">
        <f t="shared" si="49"/>
        <v>754</v>
      </c>
      <c r="E180" s="1">
        <v>-2.6364E-5</v>
      </c>
      <c r="F180" s="2">
        <f t="shared" si="36"/>
        <v>19.082737052689655</v>
      </c>
      <c r="G180">
        <f>G179+1</f>
        <v>702</v>
      </c>
      <c r="H180" s="1">
        <v>-2.8598E-5</v>
      </c>
      <c r="I180" s="2">
        <f t="shared" si="37"/>
        <v>22.233060953982907</v>
      </c>
      <c r="J180">
        <f t="shared" ref="J180:J189" si="54">J179+0.2</f>
        <v>796.400000000006</v>
      </c>
      <c r="K180" s="1">
        <v>-7.5757E-5</v>
      </c>
      <c r="L180" s="2">
        <f t="shared" si="38"/>
        <v>51.914924378784136</v>
      </c>
    </row>
    <row r="181" spans="1:12">
      <c r="A181">
        <f t="shared" si="50"/>
        <v>815</v>
      </c>
      <c r="B181" s="1">
        <v>-4.6412999999999999E-6</v>
      </c>
      <c r="C181" s="2">
        <f t="shared" si="35"/>
        <v>3.1080123873099383</v>
      </c>
      <c r="D181">
        <f t="shared" si="49"/>
        <v>755</v>
      </c>
      <c r="E181" s="1">
        <v>-2.5403999999999999E-5</v>
      </c>
      <c r="F181" s="2">
        <f t="shared" si="36"/>
        <v>18.3635170010702</v>
      </c>
      <c r="G181">
        <f t="shared" ref="G181:G195" si="55">G180+1</f>
        <v>703</v>
      </c>
      <c r="H181" s="1">
        <v>-2.7103000000000001E-5</v>
      </c>
      <c r="I181" s="2">
        <f t="shared" si="37"/>
        <v>21.040824260961593</v>
      </c>
      <c r="J181">
        <f t="shared" si="54"/>
        <v>796.60000000000605</v>
      </c>
      <c r="K181" s="1">
        <v>-7.5072000000000002E-5</v>
      </c>
      <c r="L181" s="2">
        <f t="shared" si="38"/>
        <v>51.432589794305414</v>
      </c>
    </row>
    <row r="182" spans="1:12">
      <c r="A182">
        <f t="shared" si="50"/>
        <v>820</v>
      </c>
      <c r="B182" s="1">
        <v>-4.6716000000000003E-6</v>
      </c>
      <c r="C182" s="2">
        <f t="shared" si="35"/>
        <v>3.1092275437112198</v>
      </c>
      <c r="D182">
        <f>D181+1</f>
        <v>756</v>
      </c>
      <c r="E182" s="1">
        <v>-2.4502E-5</v>
      </c>
      <c r="F182" s="2">
        <f t="shared" si="36"/>
        <v>17.688070028444447</v>
      </c>
      <c r="G182">
        <f t="shared" si="55"/>
        <v>704</v>
      </c>
      <c r="H182" s="1">
        <v>-2.5718E-5</v>
      </c>
      <c r="I182" s="2">
        <f t="shared" si="37"/>
        <v>19.937249409</v>
      </c>
      <c r="J182">
        <f t="shared" si="54"/>
        <v>796.80000000000609</v>
      </c>
      <c r="K182" s="1">
        <v>-7.4394999999999995E-5</v>
      </c>
      <c r="L182" s="2">
        <f t="shared" si="38"/>
        <v>50.955976851204433</v>
      </c>
    </row>
    <row r="183" spans="1:12">
      <c r="A183">
        <f t="shared" si="50"/>
        <v>825</v>
      </c>
      <c r="B183" s="1">
        <v>-4.7005000000000001E-6</v>
      </c>
      <c r="C183" s="2">
        <f t="shared" si="35"/>
        <v>3.1095018348799996</v>
      </c>
      <c r="D183">
        <f t="shared" si="49"/>
        <v>757</v>
      </c>
      <c r="E183" s="1">
        <v>-2.3694E-5</v>
      </c>
      <c r="F183" s="2">
        <f t="shared" si="36"/>
        <v>17.082176842652576</v>
      </c>
      <c r="G183">
        <f t="shared" si="55"/>
        <v>705</v>
      </c>
      <c r="H183" s="1">
        <v>-2.4493000000000001E-5</v>
      </c>
      <c r="I183" s="2">
        <f t="shared" si="37"/>
        <v>18.960665408136173</v>
      </c>
      <c r="J183">
        <f t="shared" si="54"/>
        <v>797.00000000000614</v>
      </c>
      <c r="K183" s="1">
        <v>-7.3725000000000003E-5</v>
      </c>
      <c r="L183" s="2">
        <f t="shared" si="38"/>
        <v>50.484396475783804</v>
      </c>
    </row>
    <row r="184" spans="1:12">
      <c r="A184">
        <f t="shared" si="50"/>
        <v>830</v>
      </c>
      <c r="B184" s="1">
        <v>-4.7295000000000002E-6</v>
      </c>
      <c r="C184" s="2">
        <f t="shared" si="35"/>
        <v>3.10983857540241</v>
      </c>
      <c r="D184">
        <f>D183+1</f>
        <v>758</v>
      </c>
      <c r="E184" s="1">
        <v>-2.2932E-5</v>
      </c>
      <c r="F184" s="2">
        <f t="shared" si="36"/>
        <v>16.511002243883905</v>
      </c>
      <c r="G184">
        <f t="shared" si="55"/>
        <v>706</v>
      </c>
      <c r="H184" s="1">
        <v>-2.3411999999999999E-5</v>
      </c>
      <c r="I184" s="2">
        <f t="shared" si="37"/>
        <v>18.098164166889518</v>
      </c>
      <c r="J184">
        <f t="shared" si="54"/>
        <v>797.20000000000618</v>
      </c>
      <c r="K184" s="1">
        <v>-7.3063000000000002E-5</v>
      </c>
      <c r="L184" s="2">
        <f t="shared" si="38"/>
        <v>50.01852947488171</v>
      </c>
    </row>
    <row r="185" spans="1:12">
      <c r="A185">
        <f t="shared" si="50"/>
        <v>835</v>
      </c>
      <c r="B185" s="1">
        <v>-4.7442999999999996E-6</v>
      </c>
      <c r="C185" s="2">
        <f t="shared" si="35"/>
        <v>3.1008901163037121</v>
      </c>
      <c r="D185">
        <f t="shared" si="49"/>
        <v>759</v>
      </c>
      <c r="E185" s="1">
        <v>-2.2215999999999999E-5</v>
      </c>
      <c r="F185" s="2">
        <f t="shared" si="36"/>
        <v>15.974409004521737</v>
      </c>
      <c r="G185">
        <f t="shared" si="55"/>
        <v>707</v>
      </c>
      <c r="H185" s="1">
        <v>-2.2407000000000001E-5</v>
      </c>
      <c r="I185" s="2">
        <f t="shared" si="37"/>
        <v>17.296769952000002</v>
      </c>
      <c r="J185">
        <f t="shared" si="54"/>
        <v>797.40000000000623</v>
      </c>
      <c r="K185" s="1">
        <v>-7.2408000000000002E-5</v>
      </c>
      <c r="L185" s="2">
        <f t="shared" si="38"/>
        <v>49.557687126681337</v>
      </c>
    </row>
    <row r="186" spans="1:12">
      <c r="A186">
        <f t="shared" si="50"/>
        <v>840</v>
      </c>
      <c r="B186" s="1">
        <v>-4.7454999999999997E-6</v>
      </c>
      <c r="C186" s="2">
        <f t="shared" si="35"/>
        <v>3.0832120923999997</v>
      </c>
      <c r="D186">
        <v>760</v>
      </c>
      <c r="E186" s="1">
        <v>-2.1540999999999999E-5</v>
      </c>
      <c r="F186" s="2">
        <f t="shared" si="36"/>
        <v>15.468670101094739</v>
      </c>
      <c r="G186">
        <f t="shared" si="55"/>
        <v>708</v>
      </c>
      <c r="H186" s="1">
        <v>-2.1472999999999999E-5</v>
      </c>
      <c r="I186" s="2">
        <f t="shared" si="37"/>
        <v>16.552369606915253</v>
      </c>
      <c r="J186">
        <f t="shared" si="54"/>
        <v>797.60000000000628</v>
      </c>
      <c r="K186" s="1">
        <v>-7.1760000000000004E-5</v>
      </c>
      <c r="L186" s="2">
        <f t="shared" si="38"/>
        <v>49.101865651353684</v>
      </c>
    </row>
    <row r="187" spans="1:12">
      <c r="A187">
        <f t="shared" si="50"/>
        <v>845</v>
      </c>
      <c r="B187" s="1">
        <v>-4.7511000000000001E-6</v>
      </c>
      <c r="C187" s="2">
        <f t="shared" si="35"/>
        <v>3.0685850966002368</v>
      </c>
      <c r="D187">
        <f>D186+5</f>
        <v>765</v>
      </c>
      <c r="E187" s="1">
        <v>-1.8700000000000001E-5</v>
      </c>
      <c r="F187" s="2">
        <f t="shared" si="36"/>
        <v>13.340769493333333</v>
      </c>
      <c r="G187">
        <f t="shared" si="55"/>
        <v>709</v>
      </c>
      <c r="H187" s="1">
        <v>-2.0602999999999999E-5</v>
      </c>
      <c r="I187" s="2">
        <f t="shared" si="37"/>
        <v>15.859333663548659</v>
      </c>
      <c r="J187">
        <f t="shared" si="54"/>
        <v>797.80000000000632</v>
      </c>
      <c r="K187" s="1">
        <v>-7.1120999999999999E-5</v>
      </c>
      <c r="L187" s="2">
        <f t="shared" si="38"/>
        <v>48.65242943217811</v>
      </c>
    </row>
    <row r="188" spans="1:12">
      <c r="A188">
        <f t="shared" si="50"/>
        <v>850</v>
      </c>
      <c r="B188" s="1">
        <v>-4.7698999999999999E-6</v>
      </c>
      <c r="C188" s="2">
        <f t="shared" si="35"/>
        <v>3.062605495488</v>
      </c>
      <c r="D188">
        <f t="shared" ref="D188:D214" si="56">D187+5</f>
        <v>770</v>
      </c>
      <c r="E188" s="1">
        <v>-1.6554000000000001E-5</v>
      </c>
      <c r="F188" s="2">
        <f t="shared" si="36"/>
        <v>11.733104390399999</v>
      </c>
      <c r="G188">
        <f t="shared" si="55"/>
        <v>710</v>
      </c>
      <c r="H188" s="1">
        <v>-1.9789999999999999E-5</v>
      </c>
      <c r="I188" s="2">
        <f t="shared" si="37"/>
        <v>15.212064369126763</v>
      </c>
      <c r="J188">
        <f t="shared" si="54"/>
        <v>798.00000000000637</v>
      </c>
      <c r="K188" s="1">
        <v>-7.0487999999999993E-5</v>
      </c>
      <c r="L188" s="2">
        <f t="shared" si="38"/>
        <v>48.207321943578556</v>
      </c>
    </row>
    <row r="189" spans="1:12">
      <c r="D189">
        <f t="shared" si="56"/>
        <v>775</v>
      </c>
      <c r="E189" s="1">
        <v>-1.4883E-5</v>
      </c>
      <c r="F189" s="2">
        <f t="shared" si="36"/>
        <v>10.480680652923871</v>
      </c>
      <c r="G189">
        <f t="shared" si="55"/>
        <v>711</v>
      </c>
      <c r="H189" s="1">
        <v>-1.9032E-5</v>
      </c>
      <c r="I189" s="2">
        <f t="shared" si="37"/>
        <v>14.608833429063292</v>
      </c>
      <c r="J189">
        <f t="shared" si="54"/>
        <v>798.20000000000641</v>
      </c>
      <c r="K189" s="1">
        <v>-6.9863000000000005E-5</v>
      </c>
      <c r="L189" s="2">
        <f t="shared" si="38"/>
        <v>47.767907405381727</v>
      </c>
    </row>
    <row r="190" spans="1:12">
      <c r="D190">
        <f t="shared" si="56"/>
        <v>780</v>
      </c>
      <c r="E190" s="1">
        <v>-1.3536000000000001E-5</v>
      </c>
      <c r="F190" s="2">
        <f t="shared" si="36"/>
        <v>9.4710134193230768</v>
      </c>
      <c r="G190">
        <f t="shared" si="55"/>
        <v>712</v>
      </c>
      <c r="H190" s="1">
        <v>-1.8321999999999998E-5</v>
      </c>
      <c r="I190" s="2">
        <f t="shared" si="37"/>
        <v>14.044089682786515</v>
      </c>
      <c r="J190">
        <f>J189+0.2</f>
        <v>798.40000000000646</v>
      </c>
      <c r="K190" s="1">
        <v>-6.9245000000000005E-5</v>
      </c>
      <c r="L190" s="2">
        <f t="shared" si="38"/>
        <v>47.333497973747114</v>
      </c>
    </row>
    <row r="191" spans="1:12">
      <c r="D191">
        <f t="shared" si="56"/>
        <v>785</v>
      </c>
      <c r="E191" s="1">
        <v>-1.2447E-5</v>
      </c>
      <c r="F191" s="2">
        <f t="shared" si="36"/>
        <v>8.6535785810751591</v>
      </c>
      <c r="G191">
        <f t="shared" si="55"/>
        <v>713</v>
      </c>
      <c r="H191" s="1">
        <v>-1.7657999999999999E-5</v>
      </c>
      <c r="I191" s="2">
        <f t="shared" si="37"/>
        <v>13.516140312504907</v>
      </c>
      <c r="J191">
        <f t="shared" ref="J191:J199" si="57">J190+0.2</f>
        <v>798.6000000000065</v>
      </c>
      <c r="K191" s="1">
        <v>-6.8635999999999998E-5</v>
      </c>
      <c r="L191" s="2">
        <f t="shared" si="38"/>
        <v>46.905456677024411</v>
      </c>
    </row>
    <row r="192" spans="1:12">
      <c r="D192">
        <f t="shared" si="56"/>
        <v>790</v>
      </c>
      <c r="E192" s="1">
        <v>-1.1576000000000001E-5</v>
      </c>
      <c r="F192" s="2">
        <f t="shared" si="36"/>
        <v>7.997092801458229</v>
      </c>
      <c r="G192">
        <f t="shared" si="55"/>
        <v>714</v>
      </c>
      <c r="H192" s="1">
        <v>-1.7034999999999999E-5</v>
      </c>
      <c r="I192" s="2">
        <f t="shared" si="37"/>
        <v>13.021008879999998</v>
      </c>
      <c r="J192">
        <f t="shared" si="57"/>
        <v>798.80000000000655</v>
      </c>
      <c r="K192" s="1">
        <v>-6.8033000000000004E-5</v>
      </c>
      <c r="L192" s="2">
        <f t="shared" si="38"/>
        <v>46.481729062112791</v>
      </c>
    </row>
    <row r="193" spans="4:12">
      <c r="D193">
        <f t="shared" si="56"/>
        <v>795</v>
      </c>
      <c r="E193" s="1">
        <v>-1.0881E-5</v>
      </c>
      <c r="F193" s="2">
        <f t="shared" si="36"/>
        <v>7.4696867679396224</v>
      </c>
      <c r="G193">
        <v>715</v>
      </c>
      <c r="H193" s="1">
        <v>-1.6452000000000001E-5</v>
      </c>
      <c r="I193" s="2">
        <f t="shared" si="37"/>
        <v>12.557794388676923</v>
      </c>
      <c r="J193">
        <f t="shared" si="57"/>
        <v>799.00000000000659</v>
      </c>
      <c r="K193" s="1">
        <v>-6.7436999999999998E-5</v>
      </c>
      <c r="L193" s="2">
        <f t="shared" si="38"/>
        <v>46.062994941957072</v>
      </c>
    </row>
    <row r="194" spans="4:12">
      <c r="D194">
        <f t="shared" si="56"/>
        <v>800</v>
      </c>
      <c r="E194" s="1">
        <v>-1.0315E-5</v>
      </c>
      <c r="F194" s="2">
        <f t="shared" si="36"/>
        <v>7.0368769086000009</v>
      </c>
      <c r="G194">
        <f>G193+5</f>
        <v>720</v>
      </c>
      <c r="H194" s="1">
        <v>-1.4025999999999999E-5</v>
      </c>
      <c r="I194" s="2">
        <f t="shared" si="37"/>
        <v>10.631683688266666</v>
      </c>
      <c r="J194">
        <f t="shared" si="57"/>
        <v>799.20000000000664</v>
      </c>
      <c r="K194" s="1">
        <v>-6.6847999999999994E-5</v>
      </c>
      <c r="L194" s="2">
        <f t="shared" si="38"/>
        <v>45.649250567687311</v>
      </c>
    </row>
    <row r="195" spans="4:12">
      <c r="D195">
        <f t="shared" si="56"/>
        <v>805</v>
      </c>
      <c r="E195" s="1">
        <v>-9.8247999999999995E-6</v>
      </c>
      <c r="F195" s="2">
        <f t="shared" ref="F195:F214" si="58">-8.686*2*3.1416*(E195)/((D195)*10^-7)</f>
        <v>6.6608330268939122</v>
      </c>
      <c r="G195">
        <f t="shared" ref="G195:G229" si="59">G194+5</f>
        <v>725</v>
      </c>
      <c r="H195" s="1">
        <v>-1.2228E-5</v>
      </c>
      <c r="I195" s="2">
        <f t="shared" ref="I195:I220" si="60">-8.686*2*3.1416*(H195)/((G195)*10^-7)</f>
        <v>9.2048800268358608</v>
      </c>
      <c r="J195">
        <f t="shared" si="57"/>
        <v>799.40000000000668</v>
      </c>
      <c r="K195" s="1">
        <v>-6.6266000000000006E-5</v>
      </c>
      <c r="L195" s="2">
        <f t="shared" ref="L195:L220" si="61">-8.686*2*3.1416*(K195)/((J195)*10^-7)</f>
        <v>45.240492194185265</v>
      </c>
    </row>
    <row r="196" spans="4:12">
      <c r="D196">
        <f t="shared" si="56"/>
        <v>810</v>
      </c>
      <c r="E196" s="1">
        <v>-9.3919000000000007E-6</v>
      </c>
      <c r="F196" s="2">
        <f t="shared" si="58"/>
        <v>6.3280390406281493</v>
      </c>
      <c r="G196">
        <f t="shared" si="59"/>
        <v>730</v>
      </c>
      <c r="H196" s="1">
        <v>-1.0854E-5</v>
      </c>
      <c r="I196" s="2">
        <f t="shared" si="60"/>
        <v>8.1146102660383566</v>
      </c>
      <c r="J196">
        <f t="shared" si="57"/>
        <v>799.60000000000673</v>
      </c>
      <c r="K196" s="1">
        <v>-6.5690000000000003E-5</v>
      </c>
      <c r="L196" s="2">
        <f t="shared" si="61"/>
        <v>44.836033540369812</v>
      </c>
    </row>
    <row r="197" spans="4:12">
      <c r="D197">
        <f t="shared" si="56"/>
        <v>815</v>
      </c>
      <c r="E197" s="1">
        <v>-9.0267999999999997E-6</v>
      </c>
      <c r="F197" s="2">
        <f t="shared" si="58"/>
        <v>6.0447301871823313</v>
      </c>
      <c r="G197">
        <f t="shared" si="59"/>
        <v>735</v>
      </c>
      <c r="H197" s="1">
        <v>-9.7775999999999994E-6</v>
      </c>
      <c r="I197" s="2">
        <f t="shared" si="60"/>
        <v>7.2601507123199998</v>
      </c>
      <c r="J197">
        <f t="shared" si="57"/>
        <v>799.80000000000678</v>
      </c>
      <c r="K197" s="1">
        <v>-6.5122000000000004E-5</v>
      </c>
      <c r="L197" s="2">
        <f t="shared" si="61"/>
        <v>44.437236118709308</v>
      </c>
    </row>
    <row r="198" spans="4:12">
      <c r="D198">
        <f t="shared" si="56"/>
        <v>820</v>
      </c>
      <c r="E198" s="1">
        <v>-8.7315999999999995E-6</v>
      </c>
      <c r="F198" s="2">
        <f t="shared" si="58"/>
        <v>5.8113989255648777</v>
      </c>
      <c r="G198">
        <f t="shared" si="59"/>
        <v>740</v>
      </c>
      <c r="H198" s="1">
        <v>-8.9315000000000008E-6</v>
      </c>
      <c r="I198" s="2">
        <f t="shared" si="60"/>
        <v>6.5870868830918923</v>
      </c>
      <c r="J198">
        <f t="shared" si="57"/>
        <v>800.00000000000682</v>
      </c>
      <c r="K198" s="1">
        <v>-6.4560999999999994E-5</v>
      </c>
      <c r="L198" s="2">
        <f t="shared" si="61"/>
        <v>44.043413484839618</v>
      </c>
    </row>
    <row r="199" spans="4:12">
      <c r="D199">
        <f t="shared" si="56"/>
        <v>825</v>
      </c>
      <c r="E199" s="1">
        <v>-8.4755000000000004E-6</v>
      </c>
      <c r="F199" s="2">
        <f t="shared" si="58"/>
        <v>5.6067615788800005</v>
      </c>
      <c r="G199">
        <f t="shared" si="59"/>
        <v>745</v>
      </c>
      <c r="H199" s="1">
        <v>-8.2624999999999992E-6</v>
      </c>
      <c r="I199" s="2">
        <f t="shared" si="60"/>
        <v>6.0527942126174494</v>
      </c>
      <c r="J199">
        <v>801</v>
      </c>
      <c r="K199" s="1">
        <v>-6.1853000000000006E-5</v>
      </c>
      <c r="L199" s="2">
        <f t="shared" si="61"/>
        <v>42.14334093315356</v>
      </c>
    </row>
    <row r="200" spans="4:12">
      <c r="D200">
        <f t="shared" si="56"/>
        <v>830</v>
      </c>
      <c r="E200" s="1">
        <v>-8.2657999999999997E-6</v>
      </c>
      <c r="F200" s="2">
        <f t="shared" si="58"/>
        <v>5.4350996292549389</v>
      </c>
      <c r="G200">
        <f t="shared" si="59"/>
        <v>750</v>
      </c>
      <c r="H200" s="1">
        <v>-7.7153000000000005E-6</v>
      </c>
      <c r="I200" s="2">
        <f t="shared" si="60"/>
        <v>5.6142566657408004</v>
      </c>
      <c r="J200">
        <f>J199+1</f>
        <v>802</v>
      </c>
      <c r="K200" s="1">
        <v>-5.9305999999999998E-5</v>
      </c>
      <c r="L200" s="2">
        <f t="shared" si="61"/>
        <v>40.357566765725686</v>
      </c>
    </row>
    <row r="201" spans="4:12">
      <c r="D201">
        <f t="shared" si="56"/>
        <v>835</v>
      </c>
      <c r="E201" s="1">
        <v>-8.0826999999999997E-6</v>
      </c>
      <c r="F201" s="2">
        <f t="shared" si="58"/>
        <v>5.2828793590304191</v>
      </c>
      <c r="G201">
        <f t="shared" si="59"/>
        <v>755</v>
      </c>
      <c r="H201" s="1">
        <v>-7.2554E-6</v>
      </c>
      <c r="I201" s="2">
        <f t="shared" si="60"/>
        <v>5.2446331778288746</v>
      </c>
      <c r="J201">
        <f t="shared" ref="J201:J212" si="62">J200+1</f>
        <v>803</v>
      </c>
      <c r="K201" s="1">
        <v>-5.6909E-5</v>
      </c>
      <c r="L201" s="2">
        <f t="shared" si="61"/>
        <v>38.678187817643831</v>
      </c>
    </row>
    <row r="202" spans="4:12">
      <c r="D202">
        <f t="shared" si="56"/>
        <v>840</v>
      </c>
      <c r="E202" s="1">
        <v>-7.8961000000000005E-6</v>
      </c>
      <c r="F202" s="2">
        <f t="shared" si="58"/>
        <v>5.1301972400800011</v>
      </c>
      <c r="G202">
        <f t="shared" si="59"/>
        <v>760</v>
      </c>
      <c r="H202" s="1">
        <v>-6.9108E-6</v>
      </c>
      <c r="I202" s="2">
        <f t="shared" si="60"/>
        <v>4.9626705043705268</v>
      </c>
      <c r="J202">
        <f t="shared" si="62"/>
        <v>804</v>
      </c>
      <c r="K202" s="1">
        <v>-5.4653E-5</v>
      </c>
      <c r="L202" s="2">
        <f t="shared" si="61"/>
        <v>37.098697852059701</v>
      </c>
    </row>
    <row r="203" spans="4:12">
      <c r="D203">
        <f t="shared" si="56"/>
        <v>845</v>
      </c>
      <c r="E203" s="1">
        <v>-7.7144000000000002E-6</v>
      </c>
      <c r="F203" s="2">
        <f t="shared" si="58"/>
        <v>4.9824867650044977</v>
      </c>
      <c r="G203">
        <f t="shared" si="59"/>
        <v>765</v>
      </c>
      <c r="H203" s="1">
        <v>-6.6433999999999998E-6</v>
      </c>
      <c r="I203" s="2">
        <f t="shared" si="60"/>
        <v>4.7394688797866662</v>
      </c>
      <c r="J203">
        <f t="shared" si="62"/>
        <v>805</v>
      </c>
      <c r="K203" s="1">
        <v>-5.2528000000000003E-5</v>
      </c>
      <c r="L203" s="2">
        <f t="shared" si="61"/>
        <v>35.611945000069568</v>
      </c>
    </row>
    <row r="204" spans="4:12">
      <c r="D204">
        <f t="shared" si="56"/>
        <v>850</v>
      </c>
      <c r="E204" s="1">
        <v>-7.5599000000000002E-6</v>
      </c>
      <c r="F204" s="2">
        <f t="shared" si="58"/>
        <v>4.8539783402880001</v>
      </c>
      <c r="G204">
        <f t="shared" si="59"/>
        <v>770</v>
      </c>
      <c r="H204" s="1">
        <v>-6.4269999999999996E-6</v>
      </c>
      <c r="I204" s="2">
        <f t="shared" si="60"/>
        <v>4.5553136351999992</v>
      </c>
      <c r="J204">
        <f t="shared" si="62"/>
        <v>806</v>
      </c>
      <c r="K204" s="1">
        <v>-5.0525999999999997E-5</v>
      </c>
      <c r="L204" s="2">
        <f t="shared" si="61"/>
        <v>34.212167125995038</v>
      </c>
    </row>
    <row r="205" spans="4:12">
      <c r="D205">
        <f t="shared" si="56"/>
        <v>855</v>
      </c>
      <c r="E205" s="1">
        <v>-7.4398000000000003E-6</v>
      </c>
      <c r="F205" s="2">
        <f t="shared" si="58"/>
        <v>4.7489309510287718</v>
      </c>
      <c r="G205">
        <f t="shared" si="59"/>
        <v>775</v>
      </c>
      <c r="H205" s="1">
        <v>-6.2368000000000002E-6</v>
      </c>
      <c r="I205" s="2">
        <f t="shared" si="60"/>
        <v>4.3919847541594832</v>
      </c>
      <c r="J205">
        <f t="shared" si="62"/>
        <v>807</v>
      </c>
      <c r="K205" s="1">
        <v>-4.8637000000000002E-5</v>
      </c>
      <c r="L205" s="2">
        <f t="shared" si="61"/>
        <v>32.892278092966549</v>
      </c>
    </row>
    <row r="206" spans="4:12">
      <c r="D206">
        <f t="shared" si="56"/>
        <v>860</v>
      </c>
      <c r="E206" s="1">
        <v>-7.3544999999999996E-6</v>
      </c>
      <c r="F206" s="2">
        <f t="shared" si="58"/>
        <v>4.6671892344000003</v>
      </c>
      <c r="G206">
        <f t="shared" si="59"/>
        <v>780</v>
      </c>
      <c r="H206" s="1">
        <v>-6.0674999999999999E-6</v>
      </c>
      <c r="I206" s="2">
        <f t="shared" si="60"/>
        <v>4.2453733689230768</v>
      </c>
      <c r="J206">
        <f t="shared" si="62"/>
        <v>808</v>
      </c>
      <c r="K206" s="1">
        <v>-4.6854000000000002E-5</v>
      </c>
      <c r="L206" s="2">
        <f t="shared" si="61"/>
        <v>31.647253176</v>
      </c>
    </row>
    <row r="207" spans="4:12">
      <c r="D207">
        <f t="shared" si="56"/>
        <v>865</v>
      </c>
      <c r="E207" s="1">
        <v>-7.3035999999999998E-6</v>
      </c>
      <c r="F207" s="2">
        <f t="shared" si="58"/>
        <v>4.6080966718002312</v>
      </c>
      <c r="G207">
        <f t="shared" si="59"/>
        <v>785</v>
      </c>
      <c r="H207" s="1">
        <v>-5.9298999999999998E-6</v>
      </c>
      <c r="I207" s="2">
        <f t="shared" si="60"/>
        <v>4.12266856494879</v>
      </c>
      <c r="J207">
        <f t="shared" si="62"/>
        <v>809</v>
      </c>
      <c r="K207" s="1">
        <v>-4.5170000000000003E-5</v>
      </c>
      <c r="L207" s="2">
        <f t="shared" si="61"/>
        <v>30.472092494239799</v>
      </c>
    </row>
    <row r="208" spans="4:12">
      <c r="D208">
        <f>D207+5</f>
        <v>870</v>
      </c>
      <c r="E208" s="1">
        <v>-7.2822999999999997E-6</v>
      </c>
      <c r="F208" s="2">
        <f t="shared" si="58"/>
        <v>4.5682516778041382</v>
      </c>
      <c r="G208">
        <f t="shared" si="59"/>
        <v>790</v>
      </c>
      <c r="H208" s="1">
        <v>-5.8271999999999999E-6</v>
      </c>
      <c r="I208" s="2">
        <f t="shared" si="60"/>
        <v>4.0256270881701273</v>
      </c>
      <c r="J208">
        <f t="shared" si="62"/>
        <v>810</v>
      </c>
      <c r="K208" s="1">
        <v>-4.3581000000000002E-5</v>
      </c>
      <c r="L208" s="2">
        <f t="shared" si="61"/>
        <v>29.363842186311118</v>
      </c>
    </row>
    <row r="209" spans="4:12">
      <c r="D209">
        <f t="shared" si="56"/>
        <v>875</v>
      </c>
      <c r="E209" s="1">
        <v>-7.2644000000000003E-6</v>
      </c>
      <c r="F209" s="2">
        <f t="shared" si="58"/>
        <v>4.5309827177472002</v>
      </c>
      <c r="G209">
        <f t="shared" si="59"/>
        <v>795</v>
      </c>
      <c r="H209" s="1">
        <v>-5.7540000000000003E-6</v>
      </c>
      <c r="I209" s="2">
        <f t="shared" si="60"/>
        <v>3.9500576842867927</v>
      </c>
      <c r="J209">
        <f t="shared" si="62"/>
        <v>811</v>
      </c>
      <c r="K209" s="1">
        <v>-4.2079000000000001E-5</v>
      </c>
      <c r="L209" s="2">
        <f t="shared" si="61"/>
        <v>28.316871178061653</v>
      </c>
    </row>
    <row r="210" spans="4:12">
      <c r="D210">
        <f t="shared" si="56"/>
        <v>880</v>
      </c>
      <c r="E210" s="1">
        <v>-7.2129E-6</v>
      </c>
      <c r="F210" s="2">
        <f t="shared" si="58"/>
        <v>4.4732992071600002</v>
      </c>
      <c r="G210">
        <f t="shared" si="59"/>
        <v>800</v>
      </c>
      <c r="H210" s="1">
        <v>-5.6933000000000002E-6</v>
      </c>
      <c r="I210" s="2">
        <f t="shared" si="60"/>
        <v>3.8839603784520005</v>
      </c>
      <c r="J210">
        <f t="shared" si="62"/>
        <v>812</v>
      </c>
      <c r="K210" s="1">
        <v>-4.066E-5</v>
      </c>
      <c r="L210" s="2">
        <f t="shared" si="61"/>
        <v>27.32826460137931</v>
      </c>
    </row>
    <row r="211" spans="4:12">
      <c r="D211">
        <f t="shared" si="56"/>
        <v>885</v>
      </c>
      <c r="E211" s="1">
        <v>-7.1369999999999996E-6</v>
      </c>
      <c r="F211" s="2">
        <f t="shared" si="58"/>
        <v>4.4012205796881352</v>
      </c>
      <c r="G211">
        <f t="shared" si="59"/>
        <v>805</v>
      </c>
      <c r="H211" s="1">
        <v>-5.6288999999999996E-6</v>
      </c>
      <c r="I211" s="2">
        <f t="shared" si="60"/>
        <v>3.8161757007860868</v>
      </c>
      <c r="J211">
        <f>J210+1</f>
        <v>813</v>
      </c>
      <c r="K211" s="1">
        <v>-3.9319000000000001E-5</v>
      </c>
      <c r="L211" s="2">
        <f t="shared" si="61"/>
        <v>26.394450639468634</v>
      </c>
    </row>
    <row r="212" spans="4:12">
      <c r="D212">
        <f>D211+5</f>
        <v>890</v>
      </c>
      <c r="E212" s="1">
        <v>-7.0708000000000001E-6</v>
      </c>
      <c r="F212" s="2">
        <f t="shared" si="58"/>
        <v>4.3358999816197752</v>
      </c>
      <c r="G212">
        <f t="shared" si="59"/>
        <v>810</v>
      </c>
      <c r="H212" s="1">
        <v>-5.5705000000000003E-6</v>
      </c>
      <c r="I212" s="2">
        <f t="shared" si="60"/>
        <v>3.7532705284148151</v>
      </c>
      <c r="J212">
        <f t="shared" si="62"/>
        <v>814</v>
      </c>
      <c r="K212" s="1">
        <v>-3.8050999999999999E-5</v>
      </c>
      <c r="L212" s="2">
        <f t="shared" si="61"/>
        <v>25.51187502745946</v>
      </c>
    </row>
    <row r="213" spans="4:12">
      <c r="D213">
        <f t="shared" si="56"/>
        <v>895</v>
      </c>
      <c r="E213" s="1">
        <v>-7.0906999999999997E-6</v>
      </c>
      <c r="F213" s="2">
        <f t="shared" si="58"/>
        <v>4.3238118243646921</v>
      </c>
      <c r="G213">
        <f t="shared" si="59"/>
        <v>815</v>
      </c>
      <c r="H213" s="1">
        <v>-5.5314000000000001E-6</v>
      </c>
      <c r="I213" s="2">
        <f t="shared" si="60"/>
        <v>3.7040613016107975</v>
      </c>
      <c r="J213">
        <v>815</v>
      </c>
      <c r="K213" s="1">
        <v>-3.6853000000000001E-5</v>
      </c>
      <c r="L213" s="2">
        <f t="shared" si="61"/>
        <v>24.678340230007365</v>
      </c>
    </row>
    <row r="214" spans="4:12">
      <c r="D214">
        <f t="shared" si="56"/>
        <v>900</v>
      </c>
      <c r="E214" s="1">
        <v>-7.1733999999999998E-6</v>
      </c>
      <c r="F214" s="2">
        <f t="shared" si="58"/>
        <v>4.3499398128853333</v>
      </c>
      <c r="G214">
        <f t="shared" si="59"/>
        <v>820</v>
      </c>
      <c r="H214" s="1">
        <v>-5.5152000000000002E-6</v>
      </c>
      <c r="I214" s="2">
        <f t="shared" si="60"/>
        <v>3.670693498817561</v>
      </c>
      <c r="J214">
        <f>J213+5</f>
        <v>820</v>
      </c>
      <c r="K214" s="1">
        <v>-3.1763000000000001E-5</v>
      </c>
      <c r="L214" s="2">
        <f t="shared" si="61"/>
        <v>21.140164926556096</v>
      </c>
    </row>
    <row r="215" spans="4:12">
      <c r="G215">
        <f t="shared" si="59"/>
        <v>825</v>
      </c>
      <c r="H215" s="1">
        <v>-5.5024E-6</v>
      </c>
      <c r="I215" s="2">
        <f t="shared" si="60"/>
        <v>3.6399793418240001</v>
      </c>
      <c r="J215">
        <f t="shared" ref="J215:J220" si="63">J214+5</f>
        <v>825</v>
      </c>
      <c r="K215" s="1">
        <v>-2.7860000000000001E-5</v>
      </c>
      <c r="L215" s="2">
        <f t="shared" si="61"/>
        <v>18.430107673600002</v>
      </c>
    </row>
    <row r="216" spans="4:12">
      <c r="G216">
        <f t="shared" si="59"/>
        <v>830</v>
      </c>
      <c r="H216" s="1">
        <v>-5.4976999999999999E-6</v>
      </c>
      <c r="I216" s="2">
        <f t="shared" si="60"/>
        <v>3.6149613143016865</v>
      </c>
      <c r="J216">
        <f t="shared" si="63"/>
        <v>830</v>
      </c>
      <c r="K216" s="1">
        <v>-2.4827000000000001E-5</v>
      </c>
      <c r="L216" s="2">
        <f t="shared" si="61"/>
        <v>16.324762091450605</v>
      </c>
    </row>
    <row r="217" spans="4:12">
      <c r="G217">
        <f t="shared" si="59"/>
        <v>835</v>
      </c>
      <c r="H217" s="1">
        <v>-5.4851000000000002E-6</v>
      </c>
      <c r="I217" s="2">
        <f t="shared" si="60"/>
        <v>3.5850794378385631</v>
      </c>
      <c r="J217">
        <f t="shared" si="63"/>
        <v>835</v>
      </c>
      <c r="K217" s="1">
        <v>-2.2436999999999999E-5</v>
      </c>
      <c r="L217" s="2">
        <f t="shared" si="61"/>
        <v>14.664897148052695</v>
      </c>
    </row>
    <row r="218" spans="4:12">
      <c r="G218">
        <f t="shared" si="59"/>
        <v>840</v>
      </c>
      <c r="H218" s="1">
        <v>-5.4558999999999997E-6</v>
      </c>
      <c r="I218" s="2">
        <f t="shared" si="60"/>
        <v>3.54476806552</v>
      </c>
      <c r="J218">
        <f t="shared" si="63"/>
        <v>840</v>
      </c>
      <c r="K218" s="1">
        <v>-2.0479000000000002E-5</v>
      </c>
      <c r="L218" s="2">
        <f t="shared" si="61"/>
        <v>13.305468431200001</v>
      </c>
    </row>
    <row r="219" spans="4:12">
      <c r="G219">
        <f t="shared" si="59"/>
        <v>845</v>
      </c>
      <c r="H219" s="1">
        <v>-5.4286E-6</v>
      </c>
      <c r="I219" s="2">
        <f t="shared" si="60"/>
        <v>3.5061609007185801</v>
      </c>
      <c r="J219">
        <f t="shared" si="63"/>
        <v>845</v>
      </c>
      <c r="K219" s="1">
        <v>-1.8814E-5</v>
      </c>
      <c r="L219" s="2">
        <f t="shared" si="61"/>
        <v>12.151367053405918</v>
      </c>
    </row>
    <row r="220" spans="4:12">
      <c r="G220">
        <f t="shared" si="59"/>
        <v>850</v>
      </c>
      <c r="H220" s="1">
        <v>-5.4164999999999997E-6</v>
      </c>
      <c r="I220" s="2">
        <f t="shared" si="60"/>
        <v>3.4777673884799998</v>
      </c>
      <c r="J220">
        <f t="shared" si="63"/>
        <v>850</v>
      </c>
      <c r="K220" s="1">
        <v>-1.7408999999999999E-5</v>
      </c>
      <c r="L220" s="2">
        <f t="shared" si="61"/>
        <v>11.17778131008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2026-09-23T09:08:42Z</dcterms:created>
  <dcterms:modified xsi:type="dcterms:W3CDTF">2026-09-29T19:57:45Z</dcterms:modified>
  <cp:category/>
  <cp:contentStatus/>
</cp:coreProperties>
</file>